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54cb2cf2640454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leaf\Documents\GitHub\expense_report\"/>
    </mc:Choice>
  </mc:AlternateContent>
  <xr:revisionPtr revIDLastSave="0" documentId="13_ncr:1_{3BB3EB91-0325-4C7E-A145-24405179BA13}" xr6:coauthVersionLast="45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Lists" sheetId="2" state="hidden" r:id="rId1"/>
    <sheet name="Temp" sheetId="3" state="hidden" r:id="rId2"/>
    <sheet name="July 2021" sheetId="1" r:id="rId3"/>
  </sheets>
  <functionGroups builtInGroupCount="19"/>
  <definedNames>
    <definedName name="_xlnm.Print_Area" localSheetId="2">'July 2021'!$A$1:$M$70</definedName>
    <definedName name="US_Category">Lists!$A$2:$A$33</definedName>
    <definedName name="US_Category1">Lists!$A$2:$A$37</definedName>
  </definedNames>
  <calcPr calcId="191029"/>
  <pivotCaches>
    <pivotCache cacheId="0" r:id="rId4"/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2" i="3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2" i="3"/>
  <c r="M62" i="1" l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M2" i="3" l="1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L67" i="3" l="1"/>
  <c r="K67" i="3"/>
  <c r="J67" i="3"/>
  <c r="I67" i="3"/>
  <c r="H67" i="3"/>
  <c r="G67" i="3"/>
  <c r="F67" i="3"/>
  <c r="V64" i="3"/>
  <c r="V63" i="3"/>
  <c r="V62" i="3"/>
  <c r="V61" i="3"/>
  <c r="V60" i="3"/>
  <c r="V59" i="3"/>
  <c r="V58" i="3"/>
  <c r="V57" i="3"/>
  <c r="V56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AL34" i="3"/>
  <c r="V34" i="3"/>
  <c r="AL33" i="3"/>
  <c r="V33" i="3"/>
  <c r="AL32" i="3"/>
  <c r="V32" i="3"/>
  <c r="AL31" i="3"/>
  <c r="AG31" i="3"/>
  <c r="AG33" i="3" s="1"/>
  <c r="V31" i="3"/>
  <c r="AL30" i="3"/>
  <c r="V30" i="3"/>
  <c r="AL29" i="3"/>
  <c r="V29" i="3"/>
  <c r="AL28" i="3"/>
  <c r="V28" i="3"/>
  <c r="AQ27" i="3"/>
  <c r="AL27" i="3"/>
  <c r="V27" i="3"/>
  <c r="AQ26" i="3"/>
  <c r="AL26" i="3"/>
  <c r="V26" i="3"/>
  <c r="AQ25" i="3"/>
  <c r="AL25" i="3"/>
  <c r="V25" i="3"/>
  <c r="AQ24" i="3"/>
  <c r="AL24" i="3"/>
  <c r="V24" i="3"/>
  <c r="AQ23" i="3"/>
  <c r="AL23" i="3"/>
  <c r="V23" i="3"/>
  <c r="AQ22" i="3"/>
  <c r="AL22" i="3"/>
  <c r="V22" i="3"/>
  <c r="AQ21" i="3"/>
  <c r="AL21" i="3"/>
  <c r="V21" i="3"/>
  <c r="AQ20" i="3"/>
  <c r="V20" i="3"/>
  <c r="AQ19" i="3"/>
  <c r="V19" i="3"/>
  <c r="AQ18" i="3"/>
  <c r="V18" i="3"/>
  <c r="AQ17" i="3"/>
  <c r="V17" i="3"/>
  <c r="AQ16" i="3"/>
  <c r="V16" i="3"/>
  <c r="AQ15" i="3"/>
  <c r="V15" i="3"/>
  <c r="AQ14" i="3"/>
  <c r="V14" i="3"/>
  <c r="AQ13" i="3"/>
  <c r="AL13" i="3"/>
  <c r="V13" i="3"/>
  <c r="AQ12" i="3"/>
  <c r="AL12" i="3"/>
  <c r="V12" i="3"/>
  <c r="AQ11" i="3"/>
  <c r="AL11" i="3"/>
  <c r="V11" i="3"/>
  <c r="M11" i="3"/>
  <c r="AQ10" i="3"/>
  <c r="AL10" i="3"/>
  <c r="V10" i="3"/>
  <c r="M10" i="3"/>
  <c r="V9" i="3"/>
  <c r="M9" i="3"/>
  <c r="V8" i="3"/>
  <c r="M8" i="3"/>
  <c r="V7" i="3"/>
  <c r="M7" i="3"/>
  <c r="V6" i="3"/>
  <c r="M6" i="3"/>
  <c r="V5" i="3"/>
  <c r="M5" i="3"/>
  <c r="AO4" i="3" a="1"/>
  <c r="AO4" i="3" s="1"/>
  <c r="V4" i="3"/>
  <c r="M4" i="3"/>
  <c r="V3" i="3"/>
  <c r="M3" i="3"/>
  <c r="V2" i="3"/>
  <c r="AL37" i="3" l="1"/>
  <c r="AL16" i="3"/>
  <c r="AQ28" i="3"/>
  <c r="W1" i="3"/>
  <c r="M67" i="3"/>
  <c r="A63" i="3" s="1"/>
  <c r="A67" i="3" s="1"/>
  <c r="A68" i="3" s="1"/>
  <c r="AQ31" i="3"/>
  <c r="AQ35" i="3" s="1"/>
  <c r="X1" i="3" a="1"/>
  <c r="X1" i="3" s="1"/>
  <c r="Y1" i="3" s="1"/>
  <c r="E63" i="3" l="1"/>
  <c r="C63" i="3"/>
  <c r="AL13" i="1" l="1"/>
  <c r="AL12" i="1"/>
  <c r="AL11" i="1"/>
  <c r="AL10" i="1"/>
  <c r="AO4" i="1" l="1" a="1"/>
  <c r="AO4" i="1" s="1"/>
  <c r="V6" i="1" l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I67" i="1"/>
  <c r="G67" i="1"/>
  <c r="H67" i="1"/>
  <c r="J67" i="1"/>
  <c r="K67" i="1"/>
  <c r="L67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10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21" i="1"/>
  <c r="V3" i="1"/>
  <c r="V4" i="1"/>
  <c r="V5" i="1"/>
  <c r="V2" i="1"/>
  <c r="W1" i="1" l="1"/>
  <c r="X1" i="1" a="1"/>
  <c r="X1" i="1" s="1"/>
  <c r="AG31" i="1"/>
  <c r="Y1" i="1" l="1"/>
  <c r="AG33" i="1"/>
  <c r="AL16" i="1"/>
  <c r="AQ28" i="1"/>
  <c r="AL37" i="1"/>
  <c r="F67" i="1"/>
  <c r="M67" i="1" s="1"/>
  <c r="O16" i="1" l="1"/>
  <c r="O2" i="1"/>
  <c r="O48" i="1"/>
  <c r="O8" i="1"/>
  <c r="O40" i="1"/>
  <c r="O34" i="1"/>
  <c r="O58" i="1"/>
  <c r="O52" i="1"/>
  <c r="O26" i="1"/>
  <c r="O17" i="1"/>
  <c r="O49" i="1"/>
  <c r="O57" i="1"/>
  <c r="O38" i="1"/>
  <c r="O25" i="1"/>
  <c r="O43" i="1"/>
  <c r="O51" i="1"/>
  <c r="O39" i="1"/>
  <c r="O14" i="1"/>
  <c r="O59" i="1"/>
  <c r="O23" i="1"/>
  <c r="O4" i="1"/>
  <c r="O3" i="1"/>
  <c r="O28" i="1"/>
  <c r="O7" i="1"/>
  <c r="O62" i="1"/>
  <c r="O24" i="1"/>
  <c r="O46" i="1"/>
  <c r="O20" i="1"/>
  <c r="O22" i="1"/>
  <c r="O29" i="1"/>
  <c r="O37" i="1"/>
  <c r="O47" i="1"/>
  <c r="O36" i="1"/>
  <c r="O33" i="1"/>
  <c r="O9" i="1"/>
  <c r="O5" i="1"/>
  <c r="O44" i="1"/>
  <c r="O30" i="1"/>
  <c r="O50" i="1"/>
  <c r="O35" i="1"/>
  <c r="O42" i="1"/>
  <c r="O31" i="1"/>
  <c r="O53" i="1"/>
  <c r="O12" i="1"/>
  <c r="O6" i="1"/>
  <c r="O56" i="1"/>
  <c r="O15" i="1"/>
  <c r="O41" i="1"/>
  <c r="O55" i="1"/>
  <c r="O27" i="1"/>
  <c r="O10" i="1"/>
  <c r="O18" i="1"/>
  <c r="O13" i="1"/>
  <c r="O11" i="1"/>
  <c r="O21" i="1"/>
  <c r="O54" i="1"/>
  <c r="O61" i="1"/>
  <c r="O32" i="1"/>
  <c r="O19" i="1"/>
  <c r="O60" i="1"/>
  <c r="O45" i="1"/>
  <c r="A63" i="1"/>
  <c r="A67" i="1" s="1"/>
  <c r="A68" i="1" s="1"/>
  <c r="C63" i="1"/>
  <c r="E63" i="1"/>
  <c r="AQ31" i="1"/>
  <c r="AQ3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<sst xmlns="http://schemas.openxmlformats.org/spreadsheetml/2006/main" count="298" uniqueCount="113">
  <si>
    <t xml:space="preserve"> </t>
  </si>
  <si>
    <t>Data</t>
  </si>
  <si>
    <t>Entrada</t>
  </si>
  <si>
    <t>Histórico</t>
  </si>
  <si>
    <t>Outras Desp</t>
  </si>
  <si>
    <t>Saldo Anterior</t>
  </si>
  <si>
    <t>Saldo Atual</t>
  </si>
  <si>
    <t>Totais</t>
  </si>
  <si>
    <t xml:space="preserve">Data: </t>
  </si>
  <si>
    <t xml:space="preserve"> 30 Janeiro       2021</t>
  </si>
  <si>
    <t>Copel</t>
  </si>
  <si>
    <t>GM Banco</t>
  </si>
  <si>
    <t>Débito</t>
  </si>
  <si>
    <t>Claro</t>
  </si>
  <si>
    <t>Posto Mediterrâneo</t>
  </si>
  <si>
    <t>Farmácia Prochet</t>
  </si>
  <si>
    <t>Condomínio El Elyon-Gas</t>
  </si>
  <si>
    <t>Condomínio El Elyon-Água</t>
  </si>
  <si>
    <t>Category</t>
  </si>
  <si>
    <t>Bradesco</t>
  </si>
  <si>
    <t>GIBM</t>
  </si>
  <si>
    <t>@</t>
  </si>
  <si>
    <t>RECEIPTS</t>
  </si>
  <si>
    <t>DISBURSEMENTS</t>
  </si>
  <si>
    <t>Family Salary</t>
  </si>
  <si>
    <t>Funds for Ministry</t>
  </si>
  <si>
    <t>1. Balance carried forward</t>
  </si>
  <si>
    <t>$</t>
  </si>
  <si>
    <t>2. Gross receipts GIBM</t>
  </si>
  <si>
    <t>Adult No 1 Amount</t>
  </si>
  <si>
    <t>US Storage</t>
  </si>
  <si>
    <t>Adult No 2 Amount</t>
  </si>
  <si>
    <t>Postage</t>
  </si>
  <si>
    <r>
      <t>Other Sources</t>
    </r>
    <r>
      <rPr>
        <sz val="8"/>
        <rFont val="Arial"/>
        <family val="2"/>
      </rPr>
      <t xml:space="preserve"> (Please itemize all other offerings</t>
    </r>
  </si>
  <si>
    <t>Children Amount</t>
  </si>
  <si>
    <t>Printing</t>
  </si>
  <si>
    <t>received including deputation honorariums.)</t>
  </si>
  <si>
    <t>Office Supplies</t>
  </si>
  <si>
    <t>Auto Expenses</t>
  </si>
  <si>
    <t>Other Travel Expenses</t>
  </si>
  <si>
    <t>1. Total Monthly Salary</t>
  </si>
  <si>
    <t>Bank Fees</t>
  </si>
  <si>
    <t>Evangelism</t>
  </si>
  <si>
    <t>Equipment</t>
  </si>
  <si>
    <t>Family Benefits</t>
  </si>
  <si>
    <t>Buildings</t>
  </si>
  <si>
    <t>Shipping</t>
  </si>
  <si>
    <t>Housing</t>
  </si>
  <si>
    <t>Subsidies</t>
  </si>
  <si>
    <t>Utilities</t>
  </si>
  <si>
    <t>Documents</t>
  </si>
  <si>
    <t>Telephone</t>
  </si>
  <si>
    <r>
      <t>Motels</t>
    </r>
    <r>
      <rPr>
        <sz val="6"/>
        <rFont val="Arial"/>
        <family val="2"/>
      </rPr>
      <t xml:space="preserve"> (Deputation &amp; Furlough)</t>
    </r>
  </si>
  <si>
    <t>Medical Insurance</t>
  </si>
  <si>
    <r>
      <t>Meals</t>
    </r>
    <r>
      <rPr>
        <sz val="6"/>
        <rFont val="Arial"/>
        <family val="2"/>
      </rPr>
      <t xml:space="preserve"> (Deputation &amp; Furlough)</t>
    </r>
  </si>
  <si>
    <t>Life Insurance</t>
  </si>
  <si>
    <t>Miscellaneous</t>
  </si>
  <si>
    <t>Social Security</t>
  </si>
  <si>
    <t>Missions Office Support</t>
  </si>
  <si>
    <t>Income Tax</t>
  </si>
  <si>
    <t>Moving Expenses</t>
  </si>
  <si>
    <t>School Tuition</t>
  </si>
  <si>
    <t>3. TOTAL Funds for Ministry</t>
  </si>
  <si>
    <t>Retirement Fund</t>
  </si>
  <si>
    <t>Furlough Fund</t>
  </si>
  <si>
    <t>3. Other Sources Total</t>
  </si>
  <si>
    <t>Medical Expenses</t>
  </si>
  <si>
    <t>GRAND TOTAL - Disbursements</t>
  </si>
  <si>
    <t>Dentist</t>
  </si>
  <si>
    <t>(Total of Disbursements No 1, 2, 3)</t>
  </si>
  <si>
    <t>GRAND TOTALS</t>
  </si>
  <si>
    <t>Disability Insurance</t>
  </si>
  <si>
    <t>(MONIES ON HAND - TOTALS OF RECEIPTS NO 1, 2, 3)</t>
  </si>
  <si>
    <r>
      <t>Contributions</t>
    </r>
    <r>
      <rPr>
        <sz val="8"/>
        <rFont val="Arial"/>
        <family val="2"/>
      </rPr>
      <t xml:space="preserve"> (From Work Funds)</t>
    </r>
  </si>
  <si>
    <t>BALANCE ON HAND</t>
  </si>
  <si>
    <t>(Total Monies on Hand Less Disbursements)</t>
  </si>
  <si>
    <t>2. Total Family Benefits</t>
  </si>
  <si>
    <t>DSC</t>
  </si>
  <si>
    <t>Podolago</t>
  </si>
  <si>
    <t>Nota Fiscal</t>
  </si>
  <si>
    <t xml:space="preserve">Terceiros 49 </t>
  </si>
  <si>
    <t>Social 48</t>
  </si>
  <si>
    <t xml:space="preserve">Desp.Serviço 47 </t>
  </si>
  <si>
    <t xml:space="preserve">Taxa Banc. 44 </t>
  </si>
  <si>
    <t xml:space="preserve">Aluguel 42 </t>
  </si>
  <si>
    <t xml:space="preserve">Equip ou carro 2  </t>
  </si>
  <si>
    <t>Total Diáro</t>
  </si>
  <si>
    <t>Conversion</t>
  </si>
  <si>
    <t>Gifts</t>
  </si>
  <si>
    <t>Grand Total</t>
  </si>
  <si>
    <t>Sum of Conversion</t>
  </si>
  <si>
    <t>Contributions (From Work Funds)</t>
  </si>
  <si>
    <t>Bank</t>
  </si>
  <si>
    <t>Real</t>
  </si>
  <si>
    <t>Dollar</t>
  </si>
  <si>
    <t>Conversion Rate</t>
  </si>
  <si>
    <t>Name:              Donald Leaf</t>
  </si>
  <si>
    <t>Missionary Number:</t>
  </si>
  <si>
    <t>Field:               Brazil</t>
  </si>
  <si>
    <t xml:space="preserve">Month: </t>
  </si>
  <si>
    <t>Meals (Deputation &amp; Furlough)</t>
  </si>
  <si>
    <t>Motels (Deputation &amp; Furlough)</t>
  </si>
  <si>
    <t>US Categories</t>
  </si>
  <si>
    <t>Right-click anywhere in Pivot table and select "Refresh"</t>
  </si>
  <si>
    <t>Date</t>
  </si>
  <si>
    <t>15/07/2021</t>
  </si>
  <si>
    <t>LCA Estacionamento</t>
  </si>
  <si>
    <t>(blank)</t>
  </si>
  <si>
    <t>Expense</t>
  </si>
  <si>
    <t>Us Categories</t>
  </si>
  <si>
    <t>Page No</t>
  </si>
  <si>
    <t>Assinatura: Donald L. Leaf_______________________________</t>
  </si>
  <si>
    <t>21 Julho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</si>
</sst>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[$$-409]\ #,##0"/>
    <numFmt numFmtId="165" formatCode="[$R$-416]\ #,##0.00"/>
    <numFmt numFmtId="166" formatCode="&quot;$&quot;#,##0.00"/>
    <numFmt numFmtId="167" formatCode="dd/mm/yy;@"/>
    <numFmt numFmtId="168" formatCode="d/m/yy;@"/>
    <numFmt numFmtId="169" formatCode="_-[$R$-416]\ * #,##0.00_-;\-[$R$-416]\ * #,##0.00_-;_-[$R$-416]\ * &quot;-&quot;??_-;_-@_-"/>
  </numFmts>
  <fonts count="23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7.5"/>
      <name val="Arial"/>
      <family val="2"/>
    </font>
    <font>
      <sz val="6"/>
      <name val="Arial"/>
      <family val="2"/>
    </font>
    <font>
      <b/>
      <sz val="10"/>
      <name val="Arial Nova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rgb="FF000000"/>
      <name val="Courier New"/>
      <family val="3"/>
    </font>
    <font>
      <sz val="10"/>
      <name val="Arial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color theme="1"/>
      <name val="Arial"/>
      <family val="2"/>
    </font>
    <font>
      <sz val="11"/>
      <color rgb="FFFA7D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1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double">
        <color indexed="9"/>
      </top>
      <bottom/>
      <diagonal/>
    </border>
    <border>
      <left/>
      <right style="thin">
        <color indexed="9"/>
      </right>
      <top/>
      <bottom style="thick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 style="thick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ck">
        <color indexed="9"/>
      </right>
      <top/>
      <bottom/>
      <diagonal/>
    </border>
    <border>
      <left/>
      <right style="thick">
        <color indexed="9"/>
      </right>
      <top/>
      <bottom/>
      <diagonal/>
    </border>
    <border>
      <left/>
      <right/>
      <top/>
      <bottom style="thick">
        <color indexed="9"/>
      </bottom>
      <diagonal/>
    </border>
    <border>
      <left/>
      <right style="thick">
        <color indexed="9"/>
      </right>
      <top/>
      <bottom style="thick">
        <color indexed="9"/>
      </bottom>
      <diagonal/>
    </border>
    <border>
      <left style="thin">
        <color indexed="9"/>
      </left>
      <right style="thick">
        <color indexed="9"/>
      </right>
      <top/>
      <bottom style="thick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ck">
        <color indexed="9"/>
      </right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 style="thick">
        <color indexed="9"/>
      </left>
      <right/>
      <top style="thin">
        <color indexed="9"/>
      </top>
      <bottom style="thin">
        <color indexed="9"/>
      </bottom>
      <diagonal/>
    </border>
    <border>
      <left style="thick">
        <color indexed="9"/>
      </left>
      <right style="thin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9"/>
      </right>
      <top style="thick">
        <color indexed="9"/>
      </top>
      <bottom style="thick">
        <color indexed="9"/>
      </bottom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n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13">
    <xf numFmtId="0" fontId="0" fillId="0" borderId="0"/>
    <xf numFmtId="3" fontId="4" fillId="0" borderId="0"/>
    <xf numFmtId="164" fontId="4" fillId="0" borderId="0"/>
    <xf numFmtId="14" fontId="4" fillId="0" borderId="0"/>
    <xf numFmtId="2" fontId="4" fillId="0" borderId="0"/>
    <xf numFmtId="0" fontId="4" fillId="0" borderId="2"/>
    <xf numFmtId="44" fontId="13" fillId="0" borderId="0" applyFont="0" applyFill="0" applyBorder="0" applyAlignment="0" applyProtection="0"/>
    <xf numFmtId="0" fontId="14" fillId="2" borderId="37" applyNumberFormat="0" applyAlignment="0" applyProtection="0"/>
    <xf numFmtId="0" fontId="15" fillId="3" borderId="37" applyNumberFormat="0" applyAlignment="0" applyProtection="0"/>
    <xf numFmtId="0" fontId="16" fillId="4" borderId="38" applyNumberFormat="0" applyAlignment="0" applyProtection="0"/>
    <xf numFmtId="0" fontId="19" fillId="0" borderId="40" applyNumberFormat="0" applyFill="0" applyAlignment="0" applyProtection="0"/>
    <xf numFmtId="0" fontId="20" fillId="3" borderId="41" applyNumberFormat="0" applyAlignment="0" applyProtection="0"/>
    <xf numFmtId="0" fontId="18" fillId="6" borderId="42" applyNumberFormat="0" applyFont="0" applyAlignment="0" applyProtection="0"/>
  </cellStyleXfs>
  <cellXfs count="154">
    <xf numFmtId="0" fontId="0" fillId="0" borderId="0" xfId="0"/>
    <xf numFmtId="2" fontId="0" fillId="0" borderId="0" xfId="0" applyNumberFormat="1"/>
    <xf numFmtId="2" fontId="3" fillId="0" borderId="7" xfId="0" applyNumberFormat="1" applyFont="1" applyBorder="1"/>
    <xf numFmtId="0" fontId="3" fillId="0" borderId="8" xfId="0" applyFont="1" applyBorder="1" applyAlignment="1">
      <alignment horizontal="center"/>
    </xf>
    <xf numFmtId="2" fontId="3" fillId="0" borderId="8" xfId="0" applyNumberFormat="1" applyFont="1" applyBorder="1"/>
    <xf numFmtId="0" fontId="3" fillId="0" borderId="10" xfId="0" applyFont="1" applyBorder="1" applyAlignment="1">
      <alignment horizontal="center"/>
    </xf>
    <xf numFmtId="2" fontId="3" fillId="0" borderId="10" xfId="0" applyNumberFormat="1" applyFont="1" applyBorder="1"/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2" fontId="3" fillId="0" borderId="13" xfId="0" applyNumberFormat="1" applyFont="1" applyBorder="1"/>
    <xf numFmtId="2" fontId="3" fillId="0" borderId="14" xfId="0" applyNumberFormat="1" applyFont="1" applyBorder="1"/>
    <xf numFmtId="0" fontId="3" fillId="0" borderId="0" xfId="0" applyFont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2" fontId="3" fillId="0" borderId="3" xfId="0" applyNumberFormat="1" applyFont="1" applyBorder="1"/>
    <xf numFmtId="2" fontId="3" fillId="0" borderId="18" xfId="0" applyNumberFormat="1" applyFont="1" applyBorder="1"/>
    <xf numFmtId="2" fontId="3" fillId="0" borderId="0" xfId="0" applyNumberFormat="1" applyFont="1"/>
    <xf numFmtId="14" fontId="0" fillId="0" borderId="0" xfId="0" applyNumberFormat="1"/>
    <xf numFmtId="8" fontId="0" fillId="0" borderId="0" xfId="0" applyNumberFormat="1"/>
    <xf numFmtId="0" fontId="0" fillId="0" borderId="0" xfId="0" applyNumberFormat="1" applyAlignment="1">
      <alignment horizontal="left"/>
    </xf>
    <xf numFmtId="165" fontId="3" fillId="0" borderId="1" xfId="0" applyNumberFormat="1" applyFont="1" applyBorder="1"/>
    <xf numFmtId="165" fontId="3" fillId="0" borderId="8" xfId="0" applyNumberFormat="1" applyFont="1" applyBorder="1"/>
    <xf numFmtId="165" fontId="3" fillId="0" borderId="21" xfId="0" applyNumberFormat="1" applyFont="1" applyBorder="1"/>
    <xf numFmtId="165" fontId="3" fillId="0" borderId="10" xfId="0" applyNumberFormat="1" applyFont="1" applyBorder="1"/>
    <xf numFmtId="165" fontId="0" fillId="0" borderId="0" xfId="0" applyNumberFormat="1"/>
    <xf numFmtId="0" fontId="4" fillId="0" borderId="0" xfId="0" applyFont="1"/>
    <xf numFmtId="166" fontId="0" fillId="0" borderId="0" xfId="0" applyNumberFormat="1"/>
    <xf numFmtId="165" fontId="3" fillId="0" borderId="4" xfId="0" applyNumberFormat="1" applyFont="1" applyBorder="1"/>
    <xf numFmtId="165" fontId="3" fillId="0" borderId="20" xfId="0" applyNumberFormat="1" applyFont="1" applyBorder="1"/>
    <xf numFmtId="165" fontId="3" fillId="0" borderId="5" xfId="0" applyNumberFormat="1" applyFont="1" applyBorder="1"/>
    <xf numFmtId="0" fontId="3" fillId="0" borderId="0" xfId="0" applyFont="1" applyBorder="1" applyAlignment="1">
      <alignment horizontal="left" vertical="center"/>
    </xf>
    <xf numFmtId="0" fontId="3" fillId="0" borderId="0" xfId="0" applyFont="1" applyBorder="1"/>
    <xf numFmtId="2" fontId="3" fillId="0" borderId="19" xfId="0" applyNumberFormat="1" applyFont="1" applyBorder="1"/>
    <xf numFmtId="0" fontId="0" fillId="0" borderId="19" xfId="0" applyBorder="1"/>
    <xf numFmtId="0" fontId="7" fillId="0" borderId="0" xfId="0" applyFont="1"/>
    <xf numFmtId="0" fontId="0" fillId="0" borderId="23" xfId="0" applyBorder="1"/>
    <xf numFmtId="0" fontId="4" fillId="0" borderId="23" xfId="0" applyFont="1" applyBorder="1"/>
    <xf numFmtId="0" fontId="0" fillId="0" borderId="24" xfId="0" applyBorder="1"/>
    <xf numFmtId="0" fontId="7" fillId="0" borderId="0" xfId="0" applyFont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5" xfId="0" applyBorder="1"/>
    <xf numFmtId="0" fontId="4" fillId="0" borderId="25" xfId="0" applyFont="1" applyBorder="1"/>
    <xf numFmtId="166" fontId="0" fillId="0" borderId="27" xfId="0" applyNumberFormat="1" applyBorder="1"/>
    <xf numFmtId="166" fontId="0" fillId="0" borderId="26" xfId="0" applyNumberFormat="1" applyBorder="1"/>
    <xf numFmtId="0" fontId="8" fillId="0" borderId="0" xfId="0" applyFont="1"/>
    <xf numFmtId="0" fontId="0" fillId="0" borderId="26" xfId="0" applyBorder="1"/>
    <xf numFmtId="0" fontId="0" fillId="0" borderId="27" xfId="0" applyBorder="1"/>
    <xf numFmtId="0" fontId="9" fillId="0" borderId="0" xfId="0" applyFont="1"/>
    <xf numFmtId="0" fontId="7" fillId="0" borderId="28" xfId="0" applyFont="1" applyBorder="1"/>
    <xf numFmtId="0" fontId="7" fillId="0" borderId="27" xfId="0" applyFont="1" applyBorder="1"/>
    <xf numFmtId="0" fontId="10" fillId="0" borderId="0" xfId="0" applyFont="1"/>
    <xf numFmtId="0" fontId="0" fillId="0" borderId="29" xfId="0" applyBorder="1"/>
    <xf numFmtId="0" fontId="0" fillId="0" borderId="30" xfId="0" applyBorder="1"/>
    <xf numFmtId="0" fontId="3" fillId="0" borderId="1" xfId="0" applyFont="1" applyBorder="1" applyAlignment="1">
      <alignment horizontal="left"/>
    </xf>
    <xf numFmtId="16" fontId="3" fillId="0" borderId="1" xfId="0" applyNumberFormat="1" applyFont="1" applyBorder="1" applyAlignment="1">
      <alignment horizontal="left"/>
    </xf>
    <xf numFmtId="0" fontId="4" fillId="0" borderId="7" xfId="0" applyFont="1" applyBorder="1"/>
    <xf numFmtId="1" fontId="4" fillId="0" borderId="19" xfId="0" applyNumberFormat="1" applyFont="1" applyBorder="1" applyAlignment="1">
      <alignment horizontal="left"/>
    </xf>
    <xf numFmtId="0" fontId="4" fillId="0" borderId="19" xfId="0" applyFont="1" applyBorder="1"/>
    <xf numFmtId="2" fontId="4" fillId="0" borderId="7" xfId="0" applyNumberFormat="1" applyFont="1" applyBorder="1"/>
    <xf numFmtId="2" fontId="4" fillId="0" borderId="19" xfId="0" applyNumberFormat="1" applyFont="1" applyBorder="1"/>
    <xf numFmtId="0" fontId="3" fillId="0" borderId="8" xfId="0" applyFont="1" applyBorder="1" applyAlignment="1">
      <alignment horizontal="left"/>
    </xf>
    <xf numFmtId="2" fontId="3" fillId="0" borderId="9" xfId="0" applyNumberFormat="1" applyFont="1" applyBorder="1"/>
    <xf numFmtId="2" fontId="3" fillId="0" borderId="22" xfId="0" applyNumberFormat="1" applyFont="1" applyBorder="1"/>
    <xf numFmtId="0" fontId="4" fillId="0" borderId="6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167" fontId="4" fillId="0" borderId="1" xfId="0" applyNumberFormat="1" applyFont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7" fontId="3" fillId="0" borderId="8" xfId="0" applyNumberFormat="1" applyFont="1" applyBorder="1" applyAlignment="1">
      <alignment horizontal="center"/>
    </xf>
    <xf numFmtId="168" fontId="4" fillId="0" borderId="7" xfId="0" applyNumberFormat="1" applyFont="1" applyBorder="1"/>
    <xf numFmtId="0" fontId="1" fillId="0" borderId="31" xfId="0" applyFont="1" applyBorder="1" applyAlignment="1">
      <alignment horizontal="center" vertical="center"/>
    </xf>
    <xf numFmtId="165" fontId="3" fillId="0" borderId="32" xfId="0" applyNumberFormat="1" applyFont="1" applyBorder="1"/>
    <xf numFmtId="1" fontId="4" fillId="0" borderId="1" xfId="0" applyNumberFormat="1" applyFont="1" applyBorder="1" applyAlignment="1">
      <alignment horizontal="left"/>
    </xf>
    <xf numFmtId="165" fontId="5" fillId="0" borderId="1" xfId="0" applyNumberFormat="1" applyFont="1" applyBorder="1"/>
    <xf numFmtId="165" fontId="0" fillId="0" borderId="1" xfId="0" applyNumberFormat="1" applyBorder="1"/>
    <xf numFmtId="0" fontId="0" fillId="0" borderId="1" xfId="0" applyBorder="1"/>
    <xf numFmtId="0" fontId="6" fillId="0" borderId="33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1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4" fillId="0" borderId="0" xfId="0" applyFont="1" applyAlignment="1"/>
    <xf numFmtId="0" fontId="0" fillId="0" borderId="0" xfId="0" applyAlignment="1"/>
    <xf numFmtId="0" fontId="7" fillId="0" borderId="0" xfId="0" applyFont="1" applyAlignment="1"/>
    <xf numFmtId="0" fontId="0" fillId="0" borderId="0" xfId="0" pivotButton="1"/>
    <xf numFmtId="0" fontId="0" fillId="0" borderId="0" xfId="0" applyAlignment="1">
      <alignment horizontal="left"/>
    </xf>
    <xf numFmtId="0" fontId="1" fillId="5" borderId="0" xfId="0" applyFont="1" applyFill="1" applyBorder="1" applyAlignment="1">
      <alignment horizontal="center"/>
    </xf>
    <xf numFmtId="165" fontId="4" fillId="5" borderId="0" xfId="0" applyNumberFormat="1" applyFont="1" applyFill="1" applyBorder="1"/>
    <xf numFmtId="166" fontId="4" fillId="5" borderId="0" xfId="0" applyNumberFormat="1" applyFont="1" applyFill="1" applyBorder="1"/>
    <xf numFmtId="165" fontId="3" fillId="5" borderId="0" xfId="0" applyNumberFormat="1" applyFont="1" applyFill="1" applyBorder="1"/>
    <xf numFmtId="2" fontId="3" fillId="5" borderId="0" xfId="0" applyNumberFormat="1" applyFont="1" applyFill="1" applyBorder="1"/>
    <xf numFmtId="0" fontId="3" fillId="5" borderId="0" xfId="0" applyFont="1" applyFill="1"/>
    <xf numFmtId="22" fontId="3" fillId="5" borderId="0" xfId="0" applyNumberFormat="1" applyFont="1" applyFill="1" applyAlignment="1"/>
    <xf numFmtId="0" fontId="0" fillId="5" borderId="0" xfId="0" applyFill="1"/>
    <xf numFmtId="0" fontId="0" fillId="5" borderId="39" xfId="0" applyFill="1" applyBorder="1" applyAlignment="1"/>
    <xf numFmtId="165" fontId="7" fillId="0" borderId="39" xfId="0" applyNumberFormat="1" applyFont="1" applyBorder="1"/>
    <xf numFmtId="3" fontId="17" fillId="0" borderId="39" xfId="0" applyNumberFormat="1" applyFont="1" applyBorder="1"/>
    <xf numFmtId="165" fontId="0" fillId="5" borderId="0" xfId="0" applyNumberFormat="1" applyFill="1"/>
    <xf numFmtId="166" fontId="0" fillId="5" borderId="0" xfId="0" applyNumberFormat="1" applyFill="1"/>
    <xf numFmtId="8" fontId="0" fillId="5" borderId="0" xfId="0" applyNumberFormat="1" applyFill="1"/>
    <xf numFmtId="44" fontId="0" fillId="0" borderId="0" xfId="6" applyNumberFormat="1" applyFont="1"/>
    <xf numFmtId="44" fontId="0" fillId="0" borderId="0" xfId="0" applyNumberFormat="1"/>
    <xf numFmtId="0" fontId="0" fillId="0" borderId="0" xfId="0" applyBorder="1"/>
    <xf numFmtId="166" fontId="0" fillId="0" borderId="0" xfId="0" applyNumberFormat="1" applyBorder="1"/>
    <xf numFmtId="0" fontId="8" fillId="0" borderId="0" xfId="0" applyFont="1" applyBorder="1"/>
    <xf numFmtId="0" fontId="7" fillId="0" borderId="0" xfId="0" applyFont="1" applyBorder="1"/>
    <xf numFmtId="0" fontId="4" fillId="0" borderId="0" xfId="0" applyFont="1" applyBorder="1"/>
    <xf numFmtId="0" fontId="10" fillId="0" borderId="0" xfId="0" applyFont="1" applyBorder="1"/>
    <xf numFmtId="165" fontId="14" fillId="2" borderId="37" xfId="7" applyNumberFormat="1"/>
    <xf numFmtId="166" fontId="14" fillId="2" borderId="37" xfId="7" applyNumberFormat="1"/>
    <xf numFmtId="166" fontId="16" fillId="4" borderId="38" xfId="9" applyNumberFormat="1"/>
    <xf numFmtId="166" fontId="15" fillId="3" borderId="37" xfId="8" applyNumberFormat="1"/>
    <xf numFmtId="165" fontId="15" fillId="3" borderId="37" xfId="8" applyNumberFormat="1" applyAlignment="1"/>
    <xf numFmtId="0" fontId="15" fillId="3" borderId="37" xfId="8"/>
    <xf numFmtId="8" fontId="15" fillId="3" borderId="37" xfId="8" applyNumberFormat="1"/>
    <xf numFmtId="44" fontId="15" fillId="3" borderId="37" xfId="8" applyNumberFormat="1"/>
    <xf numFmtId="17" fontId="15" fillId="3" borderId="37" xfId="8" quotePrefix="1" applyNumberFormat="1"/>
    <xf numFmtId="0" fontId="0" fillId="5" borderId="0" xfId="0" applyFill="1" applyAlignment="1"/>
    <xf numFmtId="44" fontId="21" fillId="7" borderId="0" xfId="0" applyNumberFormat="1" applyFont="1" applyFill="1" applyBorder="1"/>
    <xf numFmtId="44" fontId="0" fillId="0" borderId="0" xfId="0" applyNumberFormat="1" applyAlignment="1"/>
    <xf numFmtId="165" fontId="20" fillId="3" borderId="41" xfId="11" applyNumberFormat="1" applyAlignment="1">
      <alignment horizontal="center"/>
    </xf>
    <xf numFmtId="0" fontId="19" fillId="0" borderId="40" xfId="10" applyAlignment="1"/>
    <xf numFmtId="0" fontId="19" fillId="0" borderId="40" xfId="10" applyFill="1" applyAlignment="1"/>
    <xf numFmtId="44" fontId="19" fillId="0" borderId="40" xfId="10" applyNumberFormat="1" applyFill="1" applyAlignment="1"/>
    <xf numFmtId="14" fontId="0" fillId="0" borderId="0" xfId="0" applyNumberFormat="1" applyAlignment="1"/>
    <xf numFmtId="44" fontId="4" fillId="0" borderId="0" xfId="0" applyNumberFormat="1" applyFont="1"/>
    <xf numFmtId="0" fontId="4" fillId="0" borderId="1" xfId="0" applyFont="1" applyBorder="1"/>
    <xf numFmtId="169" fontId="0" fillId="0" borderId="0" xfId="0" applyNumberFormat="1"/>
    <xf numFmtId="169" fontId="16" fillId="4" borderId="38" xfId="9" applyNumberFormat="1"/>
    <xf numFmtId="169" fontId="15" fillId="3" borderId="37" xfId="8" applyNumberFormat="1"/>
    <xf numFmtId="169" fontId="19" fillId="0" borderId="40" xfId="10" applyNumberFormat="1" applyFill="1" applyAlignment="1"/>
    <xf numFmtId="169" fontId="0" fillId="0" borderId="0" xfId="0" applyNumberFormat="1" applyAlignment="1">
      <alignment horizontal="left"/>
    </xf>
    <xf numFmtId="44" fontId="15" fillId="3" borderId="37" xfId="8" applyNumberFormat="1" applyAlignment="1">
      <alignment horizontal="center"/>
    </xf>
    <xf numFmtId="169" fontId="0" fillId="0" borderId="0" xfId="0" applyNumberFormat="1" applyAlignment="1"/>
    <xf numFmtId="0" fontId="7" fillId="0" borderId="0" xfId="0" applyFont="1" applyAlignment="1">
      <alignment horizontal="center"/>
    </xf>
    <xf numFmtId="169" fontId="3" fillId="0" borderId="8" xfId="0" applyNumberFormat="1" applyFont="1" applyBorder="1"/>
    <xf numFmtId="169" fontId="3" fillId="0" borderId="1" xfId="0" applyNumberFormat="1" applyFont="1" applyBorder="1"/>
    <xf numFmtId="169" fontId="15" fillId="3" borderId="37" xfId="8" applyNumberFormat="1" applyAlignment="1"/>
    <xf numFmtId="169" fontId="4" fillId="0" borderId="1" xfId="0" applyNumberFormat="1" applyFont="1" applyBorder="1"/>
    <xf numFmtId="169" fontId="4" fillId="0" borderId="7" xfId="0" applyNumberFormat="1" applyFont="1" applyBorder="1"/>
    <xf numFmtId="169" fontId="0" fillId="0" borderId="1" xfId="0" applyNumberFormat="1" applyBorder="1"/>
    <xf numFmtId="169" fontId="3" fillId="0" borderId="7" xfId="0" applyNumberFormat="1" applyFont="1" applyBorder="1"/>
    <xf numFmtId="169" fontId="3" fillId="0" borderId="9" xfId="0" applyNumberFormat="1" applyFont="1" applyBorder="1"/>
    <xf numFmtId="44" fontId="15" fillId="3" borderId="46" xfId="8" applyNumberFormat="1" applyBorder="1"/>
    <xf numFmtId="44" fontId="22" fillId="5" borderId="0" xfId="8" applyNumberFormat="1" applyFont="1" applyFill="1" applyBorder="1"/>
    <xf numFmtId="0" fontId="4" fillId="5" borderId="0" xfId="0" applyFont="1" applyFill="1"/>
    <xf numFmtId="44" fontId="15" fillId="5" borderId="47" xfId="8" applyNumberFormat="1" applyFill="1" applyBorder="1"/>
    <xf numFmtId="169" fontId="15" fillId="3" borderId="37" xfId="8" applyNumberFormat="1" applyAlignment="1">
      <alignment horizontal="center"/>
    </xf>
    <xf numFmtId="22" fontId="3" fillId="0" borderId="0" xfId="0" applyNumberFormat="1" applyFont="1" applyAlignment="1"/>
    <xf numFmtId="0" fontId="4" fillId="6" borderId="43" xfId="12" applyFont="1" applyBorder="1" applyAlignment="1">
      <alignment horizontal="center" vertical="center" wrapText="1"/>
    </xf>
    <xf numFmtId="0" fontId="4" fillId="6" borderId="44" xfId="12" applyFont="1" applyBorder="1" applyAlignment="1">
      <alignment horizontal="center" vertical="center" wrapText="1"/>
    </xf>
    <xf numFmtId="0" fontId="4" fillId="6" borderId="45" xfId="12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</cellXfs>
  <cellStyles count="13">
    <cellStyle name="Calculation" xfId="8" builtinId="22"/>
    <cellStyle name="Check Cell" xfId="9" builtinId="23"/>
    <cellStyle name="Comma0" xfId="1" xr:uid="{00000000-0005-0000-0000-000000000000}"/>
    <cellStyle name="Currency" xfId="6" builtinId="4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3" xfId="10" builtinId="18"/>
    <cellStyle name="Input" xfId="7" builtinId="20"/>
    <cellStyle name="Normal" xfId="0" builtinId="0"/>
    <cellStyle name="Note" xfId="12" builtinId="10"/>
    <cellStyle name="Output" xfId="11" builtinId="21"/>
    <cellStyle name="Total" xfId="5" builtinId="25" customBuiltin="1"/>
  </cellStyles>
  <dxfs count="7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/>
        <i val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000000"/>
      <rgbColor rgb="00FFFFFF"/>
      <rgbColor rgb="00000000"/>
      <rgbColor rgb="00FF0000"/>
      <rgbColor rgb="0000FF00"/>
      <rgbColor rgb="000000FF"/>
      <rgbColor rgb="0000FFFF"/>
      <rgbColor rgb="00FF00FF"/>
      <rgbColor rgb="00FFFF00"/>
      <rgbColor rgb="00800080"/>
      <rgbColor rgb="00008000"/>
      <rgbColor rgb="00808000"/>
      <rgbColor rgb="00000080"/>
      <rgbColor rgb="00800000"/>
      <rgbColor rgb="00008080"/>
      <rgbColor rgb="00FFFFFF"/>
      <rgbColor rgb="00000050"/>
      <rgbColor rgb="00FFE0C0"/>
      <rgbColor rgb="00B0B0FF"/>
      <rgbColor rgb="00C890FF"/>
      <rgbColor rgb="00A040FF"/>
      <rgbColor rgb="006000C0"/>
      <rgbColor rgb="00005050"/>
      <rgbColor rgb="000080FF"/>
      <rgbColor rgb="00A0D0FF"/>
      <rgbColor rgb="00B0FFFF"/>
      <rgbColor rgb="0070FFFF"/>
      <rgbColor rgb="00005000"/>
      <rgbColor rgb="00B0FFB0"/>
      <rgbColor rgb="00FFFF90"/>
      <rgbColor rgb="00FFCC00"/>
      <rgbColor rgb="00500000"/>
      <rgbColor rgb="00FFB0B0"/>
      <rgbColor rgb="00FFB870"/>
      <rgbColor rgb="00FF8000"/>
      <rgbColor rgb="00FF6000"/>
      <rgbColor rgb="00500050"/>
      <rgbColor rgb="00FFB0FF"/>
      <rgbColor rgb="00FFA0D0"/>
      <rgbColor rgb="00FF80C0"/>
      <rgbColor rgb="00FF0080"/>
      <rgbColor rgb="00909090"/>
      <rgbColor rgb="00E0B090"/>
      <rgbColor rgb="00B07050"/>
      <rgbColor rgb="00FFFFFF"/>
      <rgbColor rgb="00FFFFFF"/>
      <rgbColor rgb="00FFFFFF"/>
      <rgbColor rgb="00804040"/>
      <rgbColor rgb="00200000"/>
      <rgbColor rgb="00400000"/>
      <rgbColor rgb="00600000"/>
      <rgbColor rgb="00800000"/>
      <rgbColor rgb="009F0000"/>
      <rgbColor rgb="00BF0000"/>
      <rgbColor rgb="00DF000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pleaf\Documents\GitHub\expense_report\Signatures\Signature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65</xdr:row>
      <xdr:rowOff>91440</xdr:rowOff>
    </xdr:from>
    <xdr:to>
      <xdr:col>1</xdr:col>
      <xdr:colOff>601980</xdr:colOff>
      <xdr:row>65</xdr:row>
      <xdr:rowOff>91440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59AACC1-87EA-45A3-9DCE-5FEF252B9E51}"/>
            </a:ext>
          </a:extLst>
        </xdr:cNvPr>
        <xdr:cNvSpPr>
          <a:spLocks noChangeShapeType="1"/>
        </xdr:cNvSpPr>
      </xdr:nvSpPr>
      <xdr:spPr bwMode="auto">
        <a:xfrm flipH="1">
          <a:off x="984885" y="12416790"/>
          <a:ext cx="54102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</xdr:colOff>
      <xdr:row>66</xdr:row>
      <xdr:rowOff>81915</xdr:rowOff>
    </xdr:from>
    <xdr:to>
      <xdr:col>1</xdr:col>
      <xdr:colOff>558165</xdr:colOff>
      <xdr:row>66</xdr:row>
      <xdr:rowOff>89535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1C734F90-CDC8-40B5-90F0-7AB512F3CE79}"/>
            </a:ext>
          </a:extLst>
        </xdr:cNvPr>
        <xdr:cNvSpPr>
          <a:spLocks noChangeShapeType="1"/>
        </xdr:cNvSpPr>
      </xdr:nvSpPr>
      <xdr:spPr bwMode="auto">
        <a:xfrm flipH="1">
          <a:off x="963930" y="12588240"/>
          <a:ext cx="518160" cy="762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67</xdr:row>
      <xdr:rowOff>76200</xdr:rowOff>
    </xdr:from>
    <xdr:to>
      <xdr:col>1</xdr:col>
      <xdr:colOff>571500</xdr:colOff>
      <xdr:row>67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BF08C53-2C55-4B45-ACE9-1A03AFA3453F}"/>
            </a:ext>
          </a:extLst>
        </xdr:cNvPr>
        <xdr:cNvSpPr>
          <a:spLocks noChangeShapeType="1"/>
        </xdr:cNvSpPr>
      </xdr:nvSpPr>
      <xdr:spPr bwMode="auto">
        <a:xfrm flipH="1">
          <a:off x="962025" y="12763500"/>
          <a:ext cx="53340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1219200</xdr:colOff>
      <xdr:row>66</xdr:row>
      <xdr:rowOff>83820</xdr:rowOff>
    </xdr:from>
    <xdr:to>
      <xdr:col>3</xdr:col>
      <xdr:colOff>2072640</xdr:colOff>
      <xdr:row>66</xdr:row>
      <xdr:rowOff>83820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2FF81AD6-99A2-4C13-8923-B77CCEE0C922}"/>
            </a:ext>
          </a:extLst>
        </xdr:cNvPr>
        <xdr:cNvSpPr>
          <a:spLocks noChangeShapeType="1"/>
        </xdr:cNvSpPr>
      </xdr:nvSpPr>
      <xdr:spPr bwMode="auto">
        <a:xfrm>
          <a:off x="3695700" y="12590145"/>
          <a:ext cx="79629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314325</xdr:colOff>
      <xdr:row>0</xdr:row>
      <xdr:rowOff>0</xdr:rowOff>
    </xdr:from>
    <xdr:to>
      <xdr:col>30</xdr:col>
      <xdr:colOff>1209675</xdr:colOff>
      <xdr:row>4</xdr:row>
      <xdr:rowOff>114300</xdr:rowOff>
    </xdr:to>
    <xdr:pic>
      <xdr:nvPicPr>
        <xdr:cNvPr id="6" name="Picture 5" descr="GIBM Logo - Improved">
          <a:extLst>
            <a:ext uri="{FF2B5EF4-FFF2-40B4-BE49-F238E27FC236}">
              <a16:creationId xmlns:a16="http://schemas.microsoft.com/office/drawing/2014/main" id="{6FFD5745-C2A9-498F-BDB4-22F68475C5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46100" y="0"/>
          <a:ext cx="895350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37</xdr:col>
      <xdr:colOff>314325</xdr:colOff>
      <xdr:row>6</xdr:row>
      <xdr:rowOff>9525</xdr:rowOff>
    </xdr:from>
    <xdr:to>
      <xdr:col>40</xdr:col>
      <xdr:colOff>666750</xdr:colOff>
      <xdr:row>6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E9372B7-84C1-4C48-A3FE-4A454EB459D0}"/>
            </a:ext>
          </a:extLst>
        </xdr:cNvPr>
        <xdr:cNvSpPr>
          <a:spLocks noChangeArrowheads="1"/>
        </xdr:cNvSpPr>
      </xdr:nvSpPr>
      <xdr:spPr bwMode="auto">
        <a:xfrm>
          <a:off x="30384750" y="1657350"/>
          <a:ext cx="1200150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838200</xdr:colOff>
      <xdr:row>7</xdr:row>
      <xdr:rowOff>9525</xdr:rowOff>
    </xdr:from>
    <xdr:to>
      <xdr:col>36</xdr:col>
      <xdr:colOff>19050</xdr:colOff>
      <xdr:row>8</xdr:row>
      <xdr:rowOff>9525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DA1857E-49E7-455E-B2C6-FBB21D7E1CF8}"/>
            </a:ext>
          </a:extLst>
        </xdr:cNvPr>
        <xdr:cNvSpPr>
          <a:spLocks noChangeArrowheads="1"/>
        </xdr:cNvSpPr>
      </xdr:nvSpPr>
      <xdr:spPr bwMode="auto">
        <a:xfrm>
          <a:off x="29032200" y="1838325"/>
          <a:ext cx="923925" cy="1809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800100</xdr:colOff>
      <xdr:row>18</xdr:row>
      <xdr:rowOff>9525</xdr:rowOff>
    </xdr:from>
    <xdr:to>
      <xdr:col>36</xdr:col>
      <xdr:colOff>66675</xdr:colOff>
      <xdr:row>19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D58E272-2180-4A8B-8898-B40CA55A27E6}"/>
            </a:ext>
          </a:extLst>
        </xdr:cNvPr>
        <xdr:cNvSpPr>
          <a:spLocks noChangeArrowheads="1"/>
        </xdr:cNvSpPr>
      </xdr:nvSpPr>
      <xdr:spPr bwMode="auto">
        <a:xfrm>
          <a:off x="28994100" y="3829050"/>
          <a:ext cx="1009650" cy="17145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857250</xdr:colOff>
      <xdr:row>7</xdr:row>
      <xdr:rowOff>0</xdr:rowOff>
    </xdr:from>
    <xdr:to>
      <xdr:col>41</xdr:col>
      <xdr:colOff>19050</xdr:colOff>
      <xdr:row>8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452A1A2-495E-40AA-A7B0-2C24E0DF90B0}"/>
            </a:ext>
          </a:extLst>
        </xdr:cNvPr>
        <xdr:cNvSpPr>
          <a:spLocks noChangeArrowheads="1"/>
        </xdr:cNvSpPr>
      </xdr:nvSpPr>
      <xdr:spPr bwMode="auto">
        <a:xfrm>
          <a:off x="31775400" y="1828800"/>
          <a:ext cx="1143000" cy="20002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885825</xdr:colOff>
      <xdr:row>6</xdr:row>
      <xdr:rowOff>9525</xdr:rowOff>
    </xdr:from>
    <xdr:to>
      <xdr:col>30</xdr:col>
      <xdr:colOff>1543050</xdr:colOff>
      <xdr:row>6</xdr:row>
      <xdr:rowOff>152400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F2976FE6-8374-4FF9-9366-2C04B3786D96}"/>
            </a:ext>
          </a:extLst>
        </xdr:cNvPr>
        <xdr:cNvSpPr>
          <a:spLocks noChangeArrowheads="1"/>
        </xdr:cNvSpPr>
      </xdr:nvSpPr>
      <xdr:spPr bwMode="auto">
        <a:xfrm>
          <a:off x="26517600" y="1657350"/>
          <a:ext cx="65722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45720</xdr:colOff>
      <xdr:row>0</xdr:row>
      <xdr:rowOff>83820</xdr:rowOff>
    </xdr:from>
    <xdr:to>
      <xdr:col>12</xdr:col>
      <xdr:colOff>1059180</xdr:colOff>
      <xdr:row>0</xdr:row>
      <xdr:rowOff>434340</xdr:rowOff>
    </xdr:to>
    <xdr:sp macro="" textlink="">
      <xdr:nvSpPr>
        <xdr:cNvPr id="12" name="brasil_header">
          <a:extLst>
            <a:ext uri="{FF2B5EF4-FFF2-40B4-BE49-F238E27FC236}">
              <a16:creationId xmlns:a16="http://schemas.microsoft.com/office/drawing/2014/main" id="{F06A95F3-8B46-47E2-A79F-E044940BBCCB}"/>
            </a:ext>
          </a:extLst>
        </xdr:cNvPr>
        <xdr:cNvSpPr txBox="1"/>
      </xdr:nvSpPr>
      <xdr:spPr>
        <a:xfrm>
          <a:off x="45720" y="83820"/>
          <a:ext cx="1227201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No 108                                                     Movimento do Caixa                                 Julho de 2021                                                                                                                  Pág #211</a:t>
          </a:r>
        </a:p>
      </xdr:txBody>
    </xdr:sp>
    <xdr:clientData/>
  </xdr:twoCellAnchor>
  <xdr:twoCellAnchor>
    <xdr:from>
      <xdr:col>14</xdr:col>
      <xdr:colOff>47626</xdr:colOff>
      <xdr:row>0</xdr:row>
      <xdr:rowOff>76200</xdr:rowOff>
    </xdr:from>
    <xdr:to>
      <xdr:col>15</xdr:col>
      <xdr:colOff>1876426</xdr:colOff>
      <xdr:row>0</xdr:row>
      <xdr:rowOff>426720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130C4C0-4CAC-456A-9030-6AED2A547A2F}"/>
            </a:ext>
          </a:extLst>
        </xdr:cNvPr>
        <xdr:cNvSpPr txBox="1"/>
      </xdr:nvSpPr>
      <xdr:spPr>
        <a:xfrm>
          <a:off x="12506326" y="76200"/>
          <a:ext cx="30670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U.S. Conversions &amp;</a:t>
          </a:r>
          <a:r>
            <a:rPr lang="pt-BR" sz="1200" b="1" baseline="0">
              <a:latin typeface="Arial Nova" panose="020B0804020202020204" pitchFamily="34" charset="0"/>
            </a:rPr>
            <a:t> Categories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17</xdr:col>
      <xdr:colOff>66676</xdr:colOff>
      <xdr:row>0</xdr:row>
      <xdr:rowOff>85725</xdr:rowOff>
    </xdr:from>
    <xdr:to>
      <xdr:col>24</xdr:col>
      <xdr:colOff>1371600</xdr:colOff>
      <xdr:row>0</xdr:row>
      <xdr:rowOff>436245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5D071BF2-7B41-46FD-BC4C-A386BF2CD354}"/>
            </a:ext>
          </a:extLst>
        </xdr:cNvPr>
        <xdr:cNvSpPr txBox="1"/>
      </xdr:nvSpPr>
      <xdr:spPr>
        <a:xfrm>
          <a:off x="15821026" y="85725"/>
          <a:ext cx="5286374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Bank Transfers &amp; Rates                               </a:t>
          </a:r>
          <a:r>
            <a:rPr lang="pt-BR" sz="1200" b="1" baseline="0">
              <a:latin typeface="Arial Nova" panose="020B0804020202020204" pitchFamily="34" charset="0"/>
            </a:rPr>
            <a:t>                             Calculated Rate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65</xdr:row>
      <xdr:rowOff>91440</xdr:rowOff>
    </xdr:from>
    <xdr:to>
      <xdr:col>1</xdr:col>
      <xdr:colOff>601980</xdr:colOff>
      <xdr:row>65</xdr:row>
      <xdr:rowOff>91440</xdr:rowOff>
    </xdr:to>
    <xdr:sp macro="" textlink="">
      <xdr:nvSpPr>
        <xdr:cNvPr id="1261" name="Line 1">
          <a:extLst>
            <a:ext uri="{FF2B5EF4-FFF2-40B4-BE49-F238E27FC236}">
              <a16:creationId xmlns:a16="http://schemas.microsoft.com/office/drawing/2014/main" id="{B75B6834-E433-4DF2-A4DB-F4BA69FE4A17}"/>
            </a:ext>
          </a:extLst>
        </xdr:cNvPr>
        <xdr:cNvSpPr>
          <a:spLocks noChangeShapeType="1"/>
        </xdr:cNvSpPr>
      </xdr:nvSpPr>
      <xdr:spPr bwMode="auto">
        <a:xfrm flipH="1">
          <a:off x="1013460" y="16383000"/>
          <a:ext cx="54102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</xdr:colOff>
      <xdr:row>66</xdr:row>
      <xdr:rowOff>81915</xdr:rowOff>
    </xdr:from>
    <xdr:to>
      <xdr:col>1</xdr:col>
      <xdr:colOff>558165</xdr:colOff>
      <xdr:row>66</xdr:row>
      <xdr:rowOff>89535</xdr:rowOff>
    </xdr:to>
    <xdr:sp macro="" textlink="">
      <xdr:nvSpPr>
        <xdr:cNvPr id="1262" name="Line 2">
          <a:extLst>
            <a:ext uri="{FF2B5EF4-FFF2-40B4-BE49-F238E27FC236}">
              <a16:creationId xmlns:a16="http://schemas.microsoft.com/office/drawing/2014/main" id="{E7E0DA4B-2269-4D57-AE8D-E61A125843FF}"/>
            </a:ext>
          </a:extLst>
        </xdr:cNvPr>
        <xdr:cNvSpPr>
          <a:spLocks noChangeShapeType="1"/>
        </xdr:cNvSpPr>
      </xdr:nvSpPr>
      <xdr:spPr bwMode="auto">
        <a:xfrm flipH="1">
          <a:off x="963930" y="12588240"/>
          <a:ext cx="518160" cy="762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67</xdr:row>
      <xdr:rowOff>76200</xdr:rowOff>
    </xdr:from>
    <xdr:to>
      <xdr:col>1</xdr:col>
      <xdr:colOff>571500</xdr:colOff>
      <xdr:row>67</xdr:row>
      <xdr:rowOff>76200</xdr:rowOff>
    </xdr:to>
    <xdr:sp macro="" textlink="">
      <xdr:nvSpPr>
        <xdr:cNvPr id="1263" name="Line 3">
          <a:extLst>
            <a:ext uri="{FF2B5EF4-FFF2-40B4-BE49-F238E27FC236}">
              <a16:creationId xmlns:a16="http://schemas.microsoft.com/office/drawing/2014/main" id="{E768440C-5EDD-4A02-ABD9-D15F54191112}"/>
            </a:ext>
          </a:extLst>
        </xdr:cNvPr>
        <xdr:cNvSpPr>
          <a:spLocks noChangeShapeType="1"/>
        </xdr:cNvSpPr>
      </xdr:nvSpPr>
      <xdr:spPr bwMode="auto">
        <a:xfrm flipH="1">
          <a:off x="990600" y="17038320"/>
          <a:ext cx="53340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1219200</xdr:colOff>
      <xdr:row>66</xdr:row>
      <xdr:rowOff>83820</xdr:rowOff>
    </xdr:from>
    <xdr:to>
      <xdr:col>3</xdr:col>
      <xdr:colOff>2072640</xdr:colOff>
      <xdr:row>66</xdr:row>
      <xdr:rowOff>83820</xdr:rowOff>
    </xdr:to>
    <xdr:sp macro="" textlink="">
      <xdr:nvSpPr>
        <xdr:cNvPr id="1264" name="Line 4">
          <a:extLst>
            <a:ext uri="{FF2B5EF4-FFF2-40B4-BE49-F238E27FC236}">
              <a16:creationId xmlns:a16="http://schemas.microsoft.com/office/drawing/2014/main" id="{844A2237-48B2-4DF4-9574-2FF5A04BAAAF}"/>
            </a:ext>
          </a:extLst>
        </xdr:cNvPr>
        <xdr:cNvSpPr>
          <a:spLocks noChangeShapeType="1"/>
        </xdr:cNvSpPr>
      </xdr:nvSpPr>
      <xdr:spPr bwMode="auto">
        <a:xfrm>
          <a:off x="3474720" y="16718280"/>
          <a:ext cx="853440" cy="0"/>
        </a:xfrm>
        <a:prstGeom prst="line">
          <a:avLst/>
        </a:prstGeom>
        <a:noFill/>
        <a:ln w="12700">
          <a:solidFill>
            <a:srgbClr val="000000"/>
          </a:solidFill>
          <a:bevel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314325</xdr:colOff>
      <xdr:row>0</xdr:row>
      <xdr:rowOff>0</xdr:rowOff>
    </xdr:from>
    <xdr:to>
      <xdr:col>30</xdr:col>
      <xdr:colOff>1209675</xdr:colOff>
      <xdr:row>4</xdr:row>
      <xdr:rowOff>114300</xdr:rowOff>
    </xdr:to>
    <xdr:pic>
      <xdr:nvPicPr>
        <xdr:cNvPr id="20" name="Picture 19" descr="GIBM Logo - Improved">
          <a:extLst>
            <a:ext uri="{FF2B5EF4-FFF2-40B4-BE49-F238E27FC236}">
              <a16:creationId xmlns:a16="http://schemas.microsoft.com/office/drawing/2014/main" id="{41F117D0-4C4A-478B-B392-44F0D2A19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22475" y="0"/>
          <a:ext cx="895350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37</xdr:col>
      <xdr:colOff>314325</xdr:colOff>
      <xdr:row>6</xdr:row>
      <xdr:rowOff>9525</xdr:rowOff>
    </xdr:from>
    <xdr:to>
      <xdr:col>40</xdr:col>
      <xdr:colOff>666750</xdr:colOff>
      <xdr:row>6</xdr:row>
      <xdr:rowOff>152400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41716765-6A4C-4C24-AA8C-7F3E3070FB99}"/>
            </a:ext>
          </a:extLst>
        </xdr:cNvPr>
        <xdr:cNvSpPr>
          <a:spLocks noChangeArrowheads="1"/>
        </xdr:cNvSpPr>
      </xdr:nvSpPr>
      <xdr:spPr bwMode="auto">
        <a:xfrm>
          <a:off x="4871085" y="1845945"/>
          <a:ext cx="122110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838200</xdr:colOff>
      <xdr:row>7</xdr:row>
      <xdr:rowOff>9525</xdr:rowOff>
    </xdr:from>
    <xdr:to>
      <xdr:col>36</xdr:col>
      <xdr:colOff>19050</xdr:colOff>
      <xdr:row>8</xdr:row>
      <xdr:rowOff>9525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DC82366E-EE42-42BE-9BE5-84DDD7CBF3FA}"/>
            </a:ext>
          </a:extLst>
        </xdr:cNvPr>
        <xdr:cNvSpPr>
          <a:spLocks noChangeArrowheads="1"/>
        </xdr:cNvSpPr>
      </xdr:nvSpPr>
      <xdr:spPr bwMode="auto">
        <a:xfrm>
          <a:off x="3467100" y="2028825"/>
          <a:ext cx="971550" cy="18288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800100</xdr:colOff>
      <xdr:row>18</xdr:row>
      <xdr:rowOff>9525</xdr:rowOff>
    </xdr:from>
    <xdr:to>
      <xdr:col>36</xdr:col>
      <xdr:colOff>66675</xdr:colOff>
      <xdr:row>19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BF52614-8368-40B5-94EC-F2A6C158138D}"/>
            </a:ext>
          </a:extLst>
        </xdr:cNvPr>
        <xdr:cNvSpPr>
          <a:spLocks noChangeArrowheads="1"/>
        </xdr:cNvSpPr>
      </xdr:nvSpPr>
      <xdr:spPr bwMode="auto">
        <a:xfrm>
          <a:off x="3429000" y="4048125"/>
          <a:ext cx="1057275" cy="17335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857250</xdr:colOff>
      <xdr:row>7</xdr:row>
      <xdr:rowOff>0</xdr:rowOff>
    </xdr:from>
    <xdr:to>
      <xdr:col>41</xdr:col>
      <xdr:colOff>19050</xdr:colOff>
      <xdr:row>8</xdr:row>
      <xdr:rowOff>19050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9E57E524-7F43-4A56-B11F-2E72B57C27A0}"/>
            </a:ext>
          </a:extLst>
        </xdr:cNvPr>
        <xdr:cNvSpPr>
          <a:spLocks noChangeArrowheads="1"/>
        </xdr:cNvSpPr>
      </xdr:nvSpPr>
      <xdr:spPr bwMode="auto">
        <a:xfrm>
          <a:off x="6282690" y="2019300"/>
          <a:ext cx="1196340" cy="20193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885825</xdr:colOff>
      <xdr:row>6</xdr:row>
      <xdr:rowOff>9525</xdr:rowOff>
    </xdr:from>
    <xdr:to>
      <xdr:col>30</xdr:col>
      <xdr:colOff>1543050</xdr:colOff>
      <xdr:row>6</xdr:row>
      <xdr:rowOff>152400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EFC0B36D-BC17-46DF-8639-C15E4189E3D3}"/>
            </a:ext>
          </a:extLst>
        </xdr:cNvPr>
        <xdr:cNvSpPr>
          <a:spLocks noChangeArrowheads="1"/>
        </xdr:cNvSpPr>
      </xdr:nvSpPr>
      <xdr:spPr bwMode="auto">
        <a:xfrm>
          <a:off x="885825" y="1845945"/>
          <a:ext cx="657225" cy="142875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45720</xdr:colOff>
      <xdr:row>0</xdr:row>
      <xdr:rowOff>83820</xdr:rowOff>
    </xdr:from>
    <xdr:to>
      <xdr:col>12</xdr:col>
      <xdr:colOff>1059180</xdr:colOff>
      <xdr:row>0</xdr:row>
      <xdr:rowOff>434340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B702826-4F39-4809-A74D-236FC9A8B00C}"/>
            </a:ext>
          </a:extLst>
        </xdr:cNvPr>
        <xdr:cNvSpPr txBox="1"/>
      </xdr:nvSpPr>
      <xdr:spPr>
        <a:xfrm>
          <a:off x="45720" y="83820"/>
          <a:ext cx="1259586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No 108                                                     Movimento do Caixa                                 Julho de 2021                                                                                                                  Pág #210</a:t>
          </a:r>
        </a:p>
      </xdr:txBody>
    </xdr:sp>
    <xdr:clientData/>
  </xdr:twoCellAnchor>
  <xdr:twoCellAnchor>
    <xdr:from>
      <xdr:col>14</xdr:col>
      <xdr:colOff>47626</xdr:colOff>
      <xdr:row>0</xdr:row>
      <xdr:rowOff>76200</xdr:rowOff>
    </xdr:from>
    <xdr:to>
      <xdr:col>15</xdr:col>
      <xdr:colOff>1876426</xdr:colOff>
      <xdr:row>0</xdr:row>
      <xdr:rowOff>426720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830265F-AA5E-4318-945B-7D2743A969F4}"/>
            </a:ext>
          </a:extLst>
        </xdr:cNvPr>
        <xdr:cNvSpPr txBox="1"/>
      </xdr:nvSpPr>
      <xdr:spPr>
        <a:xfrm>
          <a:off x="12506326" y="76200"/>
          <a:ext cx="30670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U.S. Conversions &amp;</a:t>
          </a:r>
          <a:r>
            <a:rPr lang="pt-BR" sz="1200" b="1" baseline="0">
              <a:latin typeface="Arial Nova" panose="020B0804020202020204" pitchFamily="34" charset="0"/>
            </a:rPr>
            <a:t> Categories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17</xdr:col>
      <xdr:colOff>66676</xdr:colOff>
      <xdr:row>0</xdr:row>
      <xdr:rowOff>85725</xdr:rowOff>
    </xdr:from>
    <xdr:to>
      <xdr:col>24</xdr:col>
      <xdr:colOff>1371600</xdr:colOff>
      <xdr:row>0</xdr:row>
      <xdr:rowOff>436245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6084657-A7E5-4CB2-9F4D-4BF5E8BAD78A}"/>
            </a:ext>
          </a:extLst>
        </xdr:cNvPr>
        <xdr:cNvSpPr txBox="1"/>
      </xdr:nvSpPr>
      <xdr:spPr>
        <a:xfrm>
          <a:off x="15821026" y="85725"/>
          <a:ext cx="4381499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Bank Transfers &amp; Rates                               </a:t>
          </a:r>
          <a:r>
            <a:rPr lang="pt-BR" sz="1200" b="1" baseline="0">
              <a:latin typeface="Arial Nova" panose="020B0804020202020204" pitchFamily="34" charset="0"/>
            </a:rPr>
            <a:t>       Calculated Rate</a:t>
          </a:r>
          <a:endParaRPr lang="pt-BR" sz="1200" b="1">
            <a:latin typeface="Arial Nova" panose="020B0804020202020204" pitchFamily="34" charset="0"/>
          </a:endParaRPr>
        </a:p>
      </xdr:txBody>
    </xdr:sp>
    <xdr:clientData/>
  </xdr:twoCellAnchor>
  <xdr:twoCellAnchor>
    <xdr:from>
      <xdr:col>26</xdr:col>
      <xdr:colOff>57151</xdr:colOff>
      <xdr:row>0</xdr:row>
      <xdr:rowOff>85725</xdr:rowOff>
    </xdr:from>
    <xdr:to>
      <xdr:col>28</xdr:col>
      <xdr:colOff>866776</xdr:colOff>
      <xdr:row>0</xdr:row>
      <xdr:rowOff>436245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7FF7A2E-54CB-4496-876F-06E3B595DBD7}"/>
            </a:ext>
          </a:extLst>
        </xdr:cNvPr>
        <xdr:cNvSpPr txBox="1"/>
      </xdr:nvSpPr>
      <xdr:spPr>
        <a:xfrm>
          <a:off x="20554951" y="85725"/>
          <a:ext cx="4057650" cy="35052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latin typeface="Arial Nova" panose="020B0804020202020204" pitchFamily="34" charset="0"/>
            </a:rPr>
            <a:t>Refresh occurs</a:t>
          </a:r>
          <a:r>
            <a:rPr lang="pt-BR" sz="1200" b="1" baseline="0">
              <a:latin typeface="Arial Nova" panose="020B0804020202020204" pitchFamily="34" charset="0"/>
            </a:rPr>
            <a:t> on data entry via Form</a:t>
          </a:r>
        </a:p>
      </xdr:txBody>
    </xdr:sp>
    <xdr:clientData/>
  </xdr:twoCellAnchor>
  <xdr:twoCellAnchor editAs="oneCell">
    <xdr:from>
      <xdr:col>3</xdr:col>
      <xdr:colOff>1892301</xdr:colOff>
      <xdr:row>68</xdr:row>
      <xdr:rowOff>142876</xdr:rowOff>
    </xdr:from>
    <xdr:to>
      <xdr:col>5</xdr:col>
      <xdr:colOff>699136</xdr:colOff>
      <xdr:row>69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B5F99DA-DDEE-47B1-B1E0-3F7D53768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368801" y="13011151"/>
          <a:ext cx="1435735" cy="1809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f, Peter" refreshedDate="44396.726579629627" createdVersion="6" refreshedVersion="6" minRefreshableVersion="3" recordCount="102" xr:uid="{87A0E987-53D9-450C-9510-20287CF0E8A9}">
  <cacheSource type="worksheet">
    <worksheetSource ref="O1:P1048576" sheet="Temp"/>
  </cacheSource>
  <cacheFields count="2">
    <cacheField name="Conversion" numFmtId="0">
      <sharedItems containsBlank="1"/>
    </cacheField>
    <cacheField name="Category" numFmtId="0">
      <sharedItems containsBlank="1" count="2">
        <m/>
        <s v="Categor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f, Peter" refreshedDate="44398.359101041664" createdVersion="6" refreshedVersion="6" minRefreshableVersion="3" recordCount="102" xr:uid="{CCB181EC-C538-4D9E-95D0-E0E21DB68063}">
  <cacheSource type="worksheet">
    <worksheetSource ref="O1:P1048576" sheet="July 2021"/>
  </cacheSource>
  <cacheFields count="2">
    <cacheField name="Conversion" numFmtId="0">
      <sharedItems containsBlank="1" containsMixedTypes="1" containsNumber="1" minValue="0" maxValue="700"/>
    </cacheField>
    <cacheField name="Category" numFmtId="0">
      <sharedItems containsBlank="1" count="16">
        <s v="Utilities"/>
        <s v="Auto Expenses"/>
        <s v="Telephone"/>
        <s v="Contributions (From Work Funds)"/>
        <s v="Medical Expenses"/>
        <s v="Miscellaneous"/>
        <m/>
        <s v="Category"/>
        <s v="Buildings"/>
        <s v="Social Security" u="1"/>
        <s v="Adult No 1 Amount" u="1"/>
        <s v="Adult No 2 Amount" u="1"/>
        <s v="Medical Insurance" u="1"/>
        <s v="Furlough Fund" u="1"/>
        <s v="Housing" u="1"/>
        <s v="Life Insuranc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s v=""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s v="Conversion"/>
    <x v="1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n v="30.340304108223261"/>
    <x v="0"/>
  </r>
  <r>
    <n v="300.52933710758674"/>
    <x v="1"/>
  </r>
  <r>
    <n v="97.549982969910829"/>
    <x v="2"/>
  </r>
  <r>
    <n v="38.881538092428784"/>
    <x v="1"/>
  </r>
  <r>
    <n v="41.83131629539087"/>
    <x v="2"/>
  </r>
  <r>
    <n v="22.822268494871128"/>
    <x v="3"/>
  </r>
  <r>
    <n v="10.384132165166365"/>
    <x v="4"/>
  </r>
  <r>
    <n v="56.717140921170575"/>
    <x v="0"/>
  </r>
  <r>
    <n v="3.798005848688137"/>
    <x v="0"/>
  </r>
  <r>
    <n v="49.421622425643434"/>
    <x v="0"/>
  </r>
  <r>
    <n v="24.724124202777059"/>
    <x v="4"/>
  </r>
  <r>
    <n v="1.9018557079059275"/>
    <x v="5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n v="0"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s v="Expense"/>
    <x v="7"/>
  </r>
  <r>
    <n v="500"/>
    <x v="1"/>
  </r>
  <r>
    <n v="700"/>
    <x v="8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  <r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6173CE-20C5-4BEB-8732-D8D1EBC77B1C}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 rowHeaderCaption="US Categories">
  <location ref="AA1:AB4" firstHeaderRow="1" firstDataRow="1" firstDataCol="1"/>
  <pivotFields count="2">
    <pivotField dataField="1" showAll="0"/>
    <pivotField axis="axisRow" showAll="0">
      <items count="3">
        <item x="0"/>
        <item x="1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onversion" fld="0" baseField="0" baseItem="0" numFmtId="44"/>
  </dataFields>
  <formats count="2">
    <format dxfId="4">
      <pivotArea outline="0" collapsedLevelsAreSubtotals="1" fieldPosition="0"/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217BC-D714-4EEE-A3D1-A26FC527C56D}" name="PivotTable10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 rowHeaderCaption="US Categories">
  <location ref="AA1:AB9" firstHeaderRow="1" firstDataRow="1" firstDataCol="1"/>
  <pivotFields count="2">
    <pivotField dataField="1" showAll="0"/>
    <pivotField axis="axisRow" showAll="0">
      <items count="17">
        <item x="1"/>
        <item x="3"/>
        <item x="4"/>
        <item x="2"/>
        <item x="0"/>
        <item h="1" x="6"/>
        <item x="8"/>
        <item m="1" x="14"/>
        <item m="1" x="10"/>
        <item m="1" x="11"/>
        <item m="1" x="12"/>
        <item m="1" x="15"/>
        <item m="1" x="9"/>
        <item m="1" x="13"/>
        <item x="5"/>
        <item h="1" x="7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6"/>
    </i>
    <i>
      <x v="14"/>
    </i>
    <i t="grand">
      <x/>
    </i>
  </rowItems>
  <colItems count="1">
    <i/>
  </colItems>
  <dataFields count="1">
    <dataField name="Sum of Conversion" fld="0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37"/>
  <sheetViews>
    <sheetView workbookViewId="0"/>
  </sheetViews>
  <sheetFormatPr defaultRowHeight="12.75" x14ac:dyDescent="0.2"/>
  <cols>
    <col min="1" max="1" width="26.140625" bestFit="1" customWidth="1"/>
  </cols>
  <sheetData>
    <row r="1" spans="1:2" x14ac:dyDescent="0.2">
      <c r="A1" s="35" t="s">
        <v>109</v>
      </c>
      <c r="B1" s="35" t="s">
        <v>110</v>
      </c>
    </row>
    <row r="2" spans="1:2" x14ac:dyDescent="0.2">
      <c r="A2" s="26" t="s">
        <v>38</v>
      </c>
      <c r="B2">
        <v>210</v>
      </c>
    </row>
    <row r="3" spans="1:2" x14ac:dyDescent="0.2">
      <c r="A3" s="26" t="s">
        <v>29</v>
      </c>
    </row>
    <row r="4" spans="1:2" x14ac:dyDescent="0.2">
      <c r="A4" s="26" t="s">
        <v>31</v>
      </c>
    </row>
    <row r="5" spans="1:2" x14ac:dyDescent="0.2">
      <c r="A5" s="26" t="s">
        <v>41</v>
      </c>
    </row>
    <row r="6" spans="1:2" x14ac:dyDescent="0.2">
      <c r="A6" s="26" t="s">
        <v>45</v>
      </c>
    </row>
    <row r="7" spans="1:2" x14ac:dyDescent="0.2">
      <c r="A7" s="26" t="s">
        <v>34</v>
      </c>
    </row>
    <row r="8" spans="1:2" x14ac:dyDescent="0.2">
      <c r="A8" s="26" t="s">
        <v>91</v>
      </c>
    </row>
    <row r="9" spans="1:2" x14ac:dyDescent="0.2">
      <c r="A9" s="26" t="s">
        <v>68</v>
      </c>
    </row>
    <row r="10" spans="1:2" x14ac:dyDescent="0.2">
      <c r="A10" s="26" t="s">
        <v>71</v>
      </c>
    </row>
    <row r="11" spans="1:2" x14ac:dyDescent="0.2">
      <c r="A11" s="26" t="s">
        <v>50</v>
      </c>
    </row>
    <row r="12" spans="1:2" x14ac:dyDescent="0.2">
      <c r="A12" s="26" t="s">
        <v>43</v>
      </c>
    </row>
    <row r="13" spans="1:2" x14ac:dyDescent="0.2">
      <c r="A13" s="26" t="s">
        <v>42</v>
      </c>
    </row>
    <row r="14" spans="1:2" x14ac:dyDescent="0.2">
      <c r="A14" s="26" t="s">
        <v>64</v>
      </c>
    </row>
    <row r="15" spans="1:2" x14ac:dyDescent="0.2">
      <c r="A15" s="26" t="s">
        <v>88</v>
      </c>
    </row>
    <row r="16" spans="1:2" x14ac:dyDescent="0.2">
      <c r="A16" s="26" t="s">
        <v>47</v>
      </c>
    </row>
    <row r="17" spans="1:1" x14ac:dyDescent="0.2">
      <c r="A17" s="26" t="s">
        <v>59</v>
      </c>
    </row>
    <row r="18" spans="1:1" x14ac:dyDescent="0.2">
      <c r="A18" s="26" t="s">
        <v>55</v>
      </c>
    </row>
    <row r="19" spans="1:1" x14ac:dyDescent="0.2">
      <c r="A19" s="26" t="s">
        <v>100</v>
      </c>
    </row>
    <row r="20" spans="1:1" x14ac:dyDescent="0.2">
      <c r="A20" s="26" t="s">
        <v>66</v>
      </c>
    </row>
    <row r="21" spans="1:1" x14ac:dyDescent="0.2">
      <c r="A21" s="26" t="s">
        <v>53</v>
      </c>
    </row>
    <row r="22" spans="1:1" x14ac:dyDescent="0.2">
      <c r="A22" s="26" t="s">
        <v>56</v>
      </c>
    </row>
    <row r="23" spans="1:1" x14ac:dyDescent="0.2">
      <c r="A23" s="26" t="s">
        <v>58</v>
      </c>
    </row>
    <row r="24" spans="1:1" x14ac:dyDescent="0.2">
      <c r="A24" s="26" t="s">
        <v>101</v>
      </c>
    </row>
    <row r="25" spans="1:1" x14ac:dyDescent="0.2">
      <c r="A25" s="26" t="s">
        <v>60</v>
      </c>
    </row>
    <row r="26" spans="1:1" x14ac:dyDescent="0.2">
      <c r="A26" s="26" t="s">
        <v>37</v>
      </c>
    </row>
    <row r="27" spans="1:1" x14ac:dyDescent="0.2">
      <c r="A27" s="26" t="s">
        <v>39</v>
      </c>
    </row>
    <row r="28" spans="1:1" x14ac:dyDescent="0.2">
      <c r="A28" s="26" t="s">
        <v>32</v>
      </c>
    </row>
    <row r="29" spans="1:1" x14ac:dyDescent="0.2">
      <c r="A29" s="26" t="s">
        <v>35</v>
      </c>
    </row>
    <row r="30" spans="1:1" x14ac:dyDescent="0.2">
      <c r="A30" s="26" t="s">
        <v>63</v>
      </c>
    </row>
    <row r="31" spans="1:1" x14ac:dyDescent="0.2">
      <c r="A31" s="26" t="s">
        <v>61</v>
      </c>
    </row>
    <row r="32" spans="1:1" x14ac:dyDescent="0.2">
      <c r="A32" s="26" t="s">
        <v>46</v>
      </c>
    </row>
    <row r="33" spans="1:1" x14ac:dyDescent="0.2">
      <c r="A33" s="26" t="s">
        <v>57</v>
      </c>
    </row>
    <row r="34" spans="1:1" x14ac:dyDescent="0.2">
      <c r="A34" s="26" t="s">
        <v>48</v>
      </c>
    </row>
    <row r="35" spans="1:1" x14ac:dyDescent="0.2">
      <c r="A35" s="26" t="s">
        <v>51</v>
      </c>
    </row>
    <row r="36" spans="1:1" x14ac:dyDescent="0.2">
      <c r="A36" s="26" t="s">
        <v>30</v>
      </c>
    </row>
    <row r="37" spans="1:1" x14ac:dyDescent="0.2">
      <c r="A37" s="26" t="s">
        <v>49</v>
      </c>
    </row>
  </sheetData>
  <sortState xmlns:xlrd2="http://schemas.microsoft.com/office/spreadsheetml/2017/richdata2" ref="A3:A37">
    <sortCondition ref="A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A62E3-C78A-4663-BA6B-D52AFA25C7F3}">
  <sheetPr codeName="Sheet3">
    <pageSetUpPr fitToPage="1"/>
  </sheetPr>
  <dimension ref="A1:AR10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45" customHeight="1" x14ac:dyDescent="0.25"/>
  <cols>
    <col min="1" max="1" width="13.85546875" customWidth="1"/>
    <col min="2" max="2" width="11.5703125" customWidth="1"/>
    <col min="3" max="3" width="11.7109375" customWidth="1"/>
    <col min="4" max="4" width="30.28515625" customWidth="1"/>
    <col min="5" max="5" width="9.140625" customWidth="1"/>
    <col min="6" max="6" width="10.85546875" customWidth="1"/>
    <col min="7" max="7" width="13.5703125" customWidth="1"/>
    <col min="8" max="8" width="12.85546875" customWidth="1"/>
    <col min="9" max="9" width="15.140625" customWidth="1"/>
    <col min="10" max="10" width="11.42578125" customWidth="1"/>
    <col min="11" max="11" width="13.42578125" customWidth="1"/>
    <col min="12" max="12" width="15" customWidth="1"/>
    <col min="13" max="13" width="16.7109375" customWidth="1"/>
    <col min="14" max="14" width="1.28515625" style="94" customWidth="1"/>
    <col min="15" max="15" width="19.85546875" style="114" customWidth="1"/>
    <col min="16" max="16" width="29.140625" bestFit="1" customWidth="1"/>
    <col min="17" max="17" width="1.7109375" style="94" customWidth="1"/>
    <col min="18" max="18" width="34.5703125" customWidth="1"/>
    <col min="19" max="19" width="12.140625" style="128" bestFit="1" customWidth="1"/>
    <col min="20" max="20" width="11" customWidth="1"/>
    <col min="21" max="21" width="9.140625" style="102"/>
    <col min="22" max="22" width="16" style="114" bestFit="1" customWidth="1"/>
    <col min="23" max="23" width="10.7109375" hidden="1" customWidth="1"/>
    <col min="24" max="24" width="14.7109375" hidden="1" customWidth="1"/>
    <col min="25" max="25" width="21.5703125" customWidth="1"/>
    <col min="26" max="26" width="2" style="94" customWidth="1"/>
    <col min="27" max="27" width="16.28515625" bestFit="1" customWidth="1"/>
    <col min="28" max="28" width="19.5703125" style="101" bestFit="1" customWidth="1"/>
    <col min="29" max="29" width="14.140625" customWidth="1"/>
    <col min="30" max="30" width="2" style="94" customWidth="1"/>
    <col min="31" max="31" width="23.7109375" customWidth="1"/>
    <col min="32" max="32" width="2" customWidth="1"/>
    <col min="33" max="33" width="10.7109375" customWidth="1"/>
    <col min="34" max="35" width="1" customWidth="1"/>
    <col min="36" max="36" width="26.140625" customWidth="1"/>
    <col min="37" max="37" width="2" customWidth="1"/>
    <col min="38" max="38" width="10.7109375" customWidth="1"/>
    <col min="39" max="40" width="1" customWidth="1"/>
    <col min="41" max="41" width="29.7109375" customWidth="1"/>
    <col min="42" max="42" width="2" customWidth="1"/>
    <col min="43" max="43" width="10.7109375" customWidth="1"/>
  </cols>
  <sheetData>
    <row r="1" spans="1:43" s="83" customFormat="1" ht="58.9" customHeight="1" thickTop="1" thickBot="1" x14ac:dyDescent="0.3">
      <c r="A1" s="76" t="s">
        <v>2</v>
      </c>
      <c r="B1" s="77" t="s">
        <v>79</v>
      </c>
      <c r="C1" s="77" t="s">
        <v>1</v>
      </c>
      <c r="D1" s="77" t="s">
        <v>3</v>
      </c>
      <c r="E1" s="77"/>
      <c r="F1" s="77" t="s">
        <v>4</v>
      </c>
      <c r="G1" s="77" t="s">
        <v>80</v>
      </c>
      <c r="H1" s="77" t="s">
        <v>81</v>
      </c>
      <c r="I1" s="78" t="s">
        <v>82</v>
      </c>
      <c r="J1" s="77" t="s">
        <v>83</v>
      </c>
      <c r="K1" s="79" t="s">
        <v>84</v>
      </c>
      <c r="L1" s="80" t="s">
        <v>85</v>
      </c>
      <c r="M1" s="81" t="s">
        <v>86</v>
      </c>
      <c r="N1" s="87"/>
      <c r="O1" s="122" t="s">
        <v>87</v>
      </c>
      <c r="P1" s="122" t="s">
        <v>18</v>
      </c>
      <c r="Q1" s="95"/>
      <c r="R1" s="122" t="s">
        <v>92</v>
      </c>
      <c r="S1" s="131" t="s">
        <v>93</v>
      </c>
      <c r="T1" s="123" t="s">
        <v>104</v>
      </c>
      <c r="U1" s="124" t="s">
        <v>94</v>
      </c>
      <c r="V1" s="123" t="s">
        <v>95</v>
      </c>
      <c r="W1" s="96">
        <f>SUM(V:V)</f>
        <v>0</v>
      </c>
      <c r="X1" s="97" cm="1">
        <f t="array" ref="X1">(MAX((V2:V1015&lt;&gt;"")*(ROW(V2:V1015))))-1</f>
        <v>-1</v>
      </c>
      <c r="Y1" s="148">
        <f>W1/X1</f>
        <v>0</v>
      </c>
      <c r="Z1" s="98"/>
      <c r="AA1" s="85" t="s">
        <v>102</v>
      </c>
      <c r="AB1" s="102" t="s">
        <v>90</v>
      </c>
      <c r="AC1" s="119"/>
      <c r="AD1" s="118"/>
      <c r="AF1" s="84"/>
      <c r="AP1" s="82"/>
    </row>
    <row r="2" spans="1:43" ht="14.45" customHeight="1" thickTop="1" x14ac:dyDescent="0.25">
      <c r="A2" s="70"/>
      <c r="B2" s="72"/>
      <c r="C2" s="66"/>
      <c r="D2" s="56"/>
      <c r="E2" s="58"/>
      <c r="F2" s="139"/>
      <c r="G2" s="139"/>
      <c r="H2" s="139"/>
      <c r="I2" s="139"/>
      <c r="J2" s="139"/>
      <c r="K2" s="139"/>
      <c r="L2" s="139"/>
      <c r="M2" s="130">
        <f>SUM(F2:L2)</f>
        <v>0</v>
      </c>
      <c r="N2" s="88"/>
      <c r="O2" s="116" t="str">
        <f>IF(P2="","",IFERROR(SUM(M2)/$Y$1,"Conversion Missing"))</f>
        <v/>
      </c>
      <c r="P2" s="26"/>
      <c r="R2" s="82"/>
      <c r="S2" s="134"/>
      <c r="T2" s="125"/>
      <c r="U2" s="120"/>
      <c r="V2" s="138" t="str">
        <f>IFERROR(S2/U2,"")</f>
        <v/>
      </c>
      <c r="W2" s="83"/>
      <c r="AA2" s="86" t="s">
        <v>107</v>
      </c>
      <c r="AB2" s="102">
        <v>0</v>
      </c>
      <c r="AC2" s="150" t="s">
        <v>103</v>
      </c>
      <c r="AF2" s="35" t="s">
        <v>96</v>
      </c>
      <c r="AL2" s="35" t="s">
        <v>97</v>
      </c>
      <c r="AM2" s="35"/>
      <c r="AN2" s="35"/>
      <c r="AO2" s="35"/>
      <c r="AP2" s="26"/>
    </row>
    <row r="3" spans="1:43" ht="14.45" customHeight="1" x14ac:dyDescent="0.25">
      <c r="A3" s="73"/>
      <c r="B3" s="72"/>
      <c r="C3" s="66"/>
      <c r="D3" s="56"/>
      <c r="E3" s="58"/>
      <c r="F3" s="139"/>
      <c r="G3" s="139"/>
      <c r="H3" s="139"/>
      <c r="I3" s="139"/>
      <c r="J3" s="139"/>
      <c r="K3" s="139"/>
      <c r="L3" s="139"/>
      <c r="M3" s="130">
        <f t="shared" ref="M3:M62" si="0">SUM(F3:L3)</f>
        <v>0</v>
      </c>
      <c r="N3" s="88"/>
      <c r="O3" s="116" t="str">
        <f t="shared" ref="O3:O62" si="1">IF(P3="","",IFERROR(SUM(M3)/$Y$1,"Conversion Missing"))</f>
        <v/>
      </c>
      <c r="P3" s="26"/>
      <c r="T3" s="18"/>
      <c r="V3" s="138" t="str">
        <f t="shared" ref="V3:V64" si="2">IFERROR(S3/U3,"")</f>
        <v/>
      </c>
      <c r="AA3" s="86" t="s">
        <v>18</v>
      </c>
      <c r="AB3" s="102">
        <v>0</v>
      </c>
      <c r="AC3" s="151"/>
      <c r="AL3" s="35"/>
      <c r="AM3" s="35"/>
      <c r="AN3" s="35"/>
      <c r="AO3" s="35"/>
      <c r="AP3" s="26"/>
    </row>
    <row r="4" spans="1:43" ht="14.45" customHeight="1" x14ac:dyDescent="0.25">
      <c r="A4" s="74"/>
      <c r="B4" s="72"/>
      <c r="C4" s="66"/>
      <c r="D4" s="56"/>
      <c r="E4" s="58"/>
      <c r="F4" s="139"/>
      <c r="G4" s="139"/>
      <c r="H4" s="139"/>
      <c r="I4" s="139"/>
      <c r="J4" s="139"/>
      <c r="K4" s="139"/>
      <c r="L4" s="139"/>
      <c r="M4" s="130">
        <f t="shared" si="0"/>
        <v>0</v>
      </c>
      <c r="N4" s="88"/>
      <c r="O4" s="116" t="str">
        <f t="shared" si="1"/>
        <v/>
      </c>
      <c r="P4" s="26"/>
      <c r="T4" s="18"/>
      <c r="U4" s="126"/>
      <c r="V4" s="138" t="str">
        <f t="shared" si="2"/>
        <v/>
      </c>
      <c r="AA4" s="86" t="s">
        <v>89</v>
      </c>
      <c r="AB4" s="102">
        <v>0</v>
      </c>
      <c r="AC4" s="151"/>
      <c r="AF4" s="35" t="s">
        <v>98</v>
      </c>
      <c r="AL4" s="35" t="s">
        <v>99</v>
      </c>
      <c r="AM4" s="35"/>
      <c r="AN4" s="35"/>
      <c r="AO4" s="117" t="str" cm="1">
        <f t="array" aca="1" ref="AO4" ca="1">MID(CELL("filename",A1),FIND("]",CELL("filename",A1))+1,255)</f>
        <v>Temp</v>
      </c>
      <c r="AP4" s="26"/>
    </row>
    <row r="5" spans="1:43" ht="14.45" customHeight="1" thickBot="1" x14ac:dyDescent="0.3">
      <c r="A5" s="71"/>
      <c r="B5" s="72"/>
      <c r="C5" s="66"/>
      <c r="D5" s="56"/>
      <c r="E5" s="58"/>
      <c r="F5" s="139"/>
      <c r="G5" s="139"/>
      <c r="H5" s="139"/>
      <c r="I5" s="139"/>
      <c r="J5" s="139"/>
      <c r="K5" s="139"/>
      <c r="L5" s="139"/>
      <c r="M5" s="130">
        <f t="shared" si="0"/>
        <v>0</v>
      </c>
      <c r="N5" s="88"/>
      <c r="O5" s="116" t="str">
        <f t="shared" si="1"/>
        <v/>
      </c>
      <c r="P5" s="26"/>
      <c r="T5" s="18"/>
      <c r="V5" s="138" t="str">
        <f t="shared" si="2"/>
        <v/>
      </c>
      <c r="W5" s="25"/>
      <c r="X5" s="25"/>
      <c r="AB5"/>
      <c r="AC5" s="151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7"/>
      <c r="AQ5" s="36"/>
    </row>
    <row r="6" spans="1:43" ht="14.45" customHeight="1" x14ac:dyDescent="0.25">
      <c r="A6" s="71"/>
      <c r="B6" s="72"/>
      <c r="C6" s="66"/>
      <c r="D6" s="56"/>
      <c r="E6" s="58"/>
      <c r="F6" s="139"/>
      <c r="G6" s="139"/>
      <c r="H6" s="139"/>
      <c r="I6" s="139"/>
      <c r="J6" s="139"/>
      <c r="K6" s="139"/>
      <c r="L6" s="139"/>
      <c r="M6" s="130">
        <f t="shared" si="0"/>
        <v>0</v>
      </c>
      <c r="N6" s="88"/>
      <c r="O6" s="116" t="str">
        <f t="shared" si="1"/>
        <v/>
      </c>
      <c r="P6" s="26"/>
      <c r="T6" s="18"/>
      <c r="V6" s="138" t="str">
        <f t="shared" si="2"/>
        <v/>
      </c>
      <c r="AB6"/>
      <c r="AC6" s="151"/>
      <c r="AI6" s="38"/>
      <c r="AP6" s="26"/>
    </row>
    <row r="7" spans="1:43" ht="14.45" customHeight="1" x14ac:dyDescent="0.25">
      <c r="A7" s="71"/>
      <c r="B7" s="57"/>
      <c r="C7" s="66"/>
      <c r="D7" s="56"/>
      <c r="E7" s="58"/>
      <c r="F7" s="139"/>
      <c r="G7" s="139"/>
      <c r="H7" s="139"/>
      <c r="I7" s="139"/>
      <c r="J7" s="139"/>
      <c r="K7" s="139"/>
      <c r="L7" s="140"/>
      <c r="M7" s="130">
        <f t="shared" si="0"/>
        <v>0</v>
      </c>
      <c r="N7" s="88"/>
      <c r="O7" s="116" t="str">
        <f t="shared" si="1"/>
        <v/>
      </c>
      <c r="P7" s="26"/>
      <c r="T7" s="18"/>
      <c r="V7" s="138" t="str">
        <f t="shared" si="2"/>
        <v/>
      </c>
      <c r="AB7"/>
      <c r="AC7" s="151"/>
      <c r="AE7" s="153" t="s">
        <v>22</v>
      </c>
      <c r="AF7" s="153"/>
      <c r="AG7" s="153"/>
      <c r="AH7" s="135"/>
      <c r="AI7" s="40"/>
      <c r="AJ7" s="153" t="s">
        <v>23</v>
      </c>
      <c r="AK7" s="153"/>
      <c r="AL7" s="153"/>
      <c r="AM7" s="153"/>
      <c r="AN7" s="153"/>
      <c r="AO7" s="153"/>
      <c r="AP7" s="153"/>
      <c r="AQ7" s="153"/>
    </row>
    <row r="8" spans="1:43" ht="14.45" customHeight="1" x14ac:dyDescent="0.25">
      <c r="A8" s="28"/>
      <c r="B8" s="57"/>
      <c r="C8" s="66"/>
      <c r="D8" s="56"/>
      <c r="E8" s="58"/>
      <c r="F8" s="139"/>
      <c r="G8" s="139"/>
      <c r="H8" s="139"/>
      <c r="I8" s="139"/>
      <c r="J8" s="139"/>
      <c r="K8" s="139"/>
      <c r="L8" s="140"/>
      <c r="M8" s="130">
        <f t="shared" si="0"/>
        <v>0</v>
      </c>
      <c r="N8" s="88"/>
      <c r="O8" s="116" t="str">
        <f t="shared" si="1"/>
        <v/>
      </c>
      <c r="P8" s="26"/>
      <c r="T8" s="18"/>
      <c r="V8" s="138" t="str">
        <f t="shared" si="2"/>
        <v/>
      </c>
      <c r="AB8"/>
      <c r="AC8" s="152"/>
      <c r="AI8" s="41"/>
      <c r="AJ8" s="153" t="s">
        <v>24</v>
      </c>
      <c r="AK8" s="153"/>
      <c r="AL8" s="153"/>
      <c r="AM8" s="135"/>
      <c r="AN8" s="40"/>
      <c r="AO8" s="153" t="s">
        <v>25</v>
      </c>
      <c r="AP8" s="153"/>
      <c r="AQ8" s="153"/>
    </row>
    <row r="9" spans="1:43" ht="14.45" customHeight="1" x14ac:dyDescent="0.25">
      <c r="A9" s="28"/>
      <c r="B9" s="57"/>
      <c r="C9" s="66"/>
      <c r="D9" s="56"/>
      <c r="E9" s="58"/>
      <c r="F9" s="139"/>
      <c r="G9" s="139"/>
      <c r="H9" s="139"/>
      <c r="I9" s="139"/>
      <c r="J9" s="139"/>
      <c r="K9" s="139"/>
      <c r="L9" s="140"/>
      <c r="M9" s="130">
        <f t="shared" si="0"/>
        <v>0</v>
      </c>
      <c r="N9" s="88"/>
      <c r="O9" s="116" t="str">
        <f t="shared" si="1"/>
        <v/>
      </c>
      <c r="P9" s="26"/>
      <c r="T9" s="18"/>
      <c r="V9" s="138" t="str">
        <f t="shared" si="2"/>
        <v/>
      </c>
      <c r="AB9"/>
      <c r="AE9" t="s">
        <v>26</v>
      </c>
      <c r="AF9" s="35" t="s">
        <v>27</v>
      </c>
      <c r="AG9" s="110"/>
      <c r="AH9" s="26"/>
      <c r="AI9" s="42"/>
      <c r="AN9" s="41"/>
      <c r="AP9" s="26"/>
    </row>
    <row r="10" spans="1:43" ht="14.45" customHeight="1" x14ac:dyDescent="0.25">
      <c r="A10" s="28"/>
      <c r="B10" s="57"/>
      <c r="C10" s="66"/>
      <c r="D10" s="56"/>
      <c r="E10" s="58"/>
      <c r="F10" s="139"/>
      <c r="G10" s="139"/>
      <c r="H10" s="139"/>
      <c r="I10" s="139"/>
      <c r="J10" s="139"/>
      <c r="K10" s="139"/>
      <c r="L10" s="140"/>
      <c r="M10" s="130">
        <f t="shared" si="0"/>
        <v>0</v>
      </c>
      <c r="N10" s="88"/>
      <c r="O10" s="116" t="str">
        <f t="shared" si="1"/>
        <v/>
      </c>
      <c r="P10" s="26"/>
      <c r="T10" s="18"/>
      <c r="V10" s="138" t="str">
        <f t="shared" si="2"/>
        <v/>
      </c>
      <c r="AB10"/>
      <c r="AE10" t="s">
        <v>28</v>
      </c>
      <c r="AF10" s="35" t="s">
        <v>27</v>
      </c>
      <c r="AG10" s="110"/>
      <c r="AI10" s="41"/>
      <c r="AJ10" t="s">
        <v>29</v>
      </c>
      <c r="AK10" s="35" t="s">
        <v>27</v>
      </c>
      <c r="AL10" s="112">
        <f t="shared" ref="AL10:AL13" si="3">IFERROR(VLOOKUP(AJ10,$AA$2:$AB$115,2,FALSE),0)</f>
        <v>0</v>
      </c>
      <c r="AN10" s="41"/>
      <c r="AO10" t="s">
        <v>30</v>
      </c>
      <c r="AP10" s="26"/>
      <c r="AQ10" s="112">
        <f t="shared" ref="AQ10:AQ27" si="4">IFERROR(VLOOKUP(AO10,$AA$2:$AB$115,2,FALSE),0)</f>
        <v>0</v>
      </c>
    </row>
    <row r="11" spans="1:43" ht="14.45" customHeight="1" x14ac:dyDescent="0.25">
      <c r="A11" s="28"/>
      <c r="B11" s="57"/>
      <c r="C11" s="66"/>
      <c r="D11" s="56"/>
      <c r="E11" s="58"/>
      <c r="F11" s="139"/>
      <c r="G11" s="139"/>
      <c r="H11" s="139"/>
      <c r="I11" s="139"/>
      <c r="J11" s="139"/>
      <c r="K11" s="139"/>
      <c r="L11" s="140"/>
      <c r="M11" s="130">
        <f t="shared" si="0"/>
        <v>0</v>
      </c>
      <c r="N11" s="88"/>
      <c r="O11" s="116" t="str">
        <f t="shared" si="1"/>
        <v/>
      </c>
      <c r="P11" s="26"/>
      <c r="T11" s="18"/>
      <c r="V11" s="138" t="str">
        <f t="shared" si="2"/>
        <v/>
      </c>
      <c r="AB11"/>
      <c r="AD11" s="98"/>
      <c r="AI11" s="41"/>
      <c r="AJ11" t="s">
        <v>31</v>
      </c>
      <c r="AK11" s="35" t="s">
        <v>27</v>
      </c>
      <c r="AL11" s="112">
        <f t="shared" si="3"/>
        <v>0</v>
      </c>
      <c r="AN11" s="41"/>
      <c r="AO11" t="s">
        <v>32</v>
      </c>
      <c r="AP11" s="26"/>
      <c r="AQ11" s="112">
        <f t="shared" si="4"/>
        <v>0</v>
      </c>
    </row>
    <row r="12" spans="1:43" ht="14.45" customHeight="1" x14ac:dyDescent="0.25">
      <c r="A12" s="28"/>
      <c r="B12" s="64"/>
      <c r="C12" s="66"/>
      <c r="D12" s="69"/>
      <c r="E12" s="60"/>
      <c r="F12" s="139"/>
      <c r="G12" s="139"/>
      <c r="H12" s="139"/>
      <c r="I12" s="139"/>
      <c r="J12" s="139"/>
      <c r="K12" s="139"/>
      <c r="L12" s="140"/>
      <c r="M12" s="130">
        <f t="shared" si="0"/>
        <v>0</v>
      </c>
      <c r="N12" s="88"/>
      <c r="O12" s="116" t="str">
        <f t="shared" si="1"/>
        <v/>
      </c>
      <c r="P12" s="26"/>
      <c r="R12" s="26"/>
      <c r="T12" s="18"/>
      <c r="V12" s="138" t="str">
        <f t="shared" si="2"/>
        <v/>
      </c>
      <c r="W12" s="27"/>
      <c r="AB12"/>
      <c r="AD12" s="98"/>
      <c r="AE12" s="35" t="s">
        <v>33</v>
      </c>
      <c r="AI12" s="41"/>
      <c r="AJ12" t="s">
        <v>34</v>
      </c>
      <c r="AK12" s="35" t="s">
        <v>27</v>
      </c>
      <c r="AL12" s="112">
        <f t="shared" si="3"/>
        <v>0</v>
      </c>
      <c r="AN12" s="41"/>
      <c r="AO12" t="s">
        <v>35</v>
      </c>
      <c r="AP12" s="26"/>
      <c r="AQ12" s="112">
        <f t="shared" si="4"/>
        <v>0</v>
      </c>
    </row>
    <row r="13" spans="1:43" ht="14.45" customHeight="1" x14ac:dyDescent="0.25">
      <c r="A13" s="28"/>
      <c r="B13" s="75"/>
      <c r="C13" s="127"/>
      <c r="D13" s="56"/>
      <c r="E13" s="34"/>
      <c r="F13" s="141"/>
      <c r="G13" s="141"/>
      <c r="H13" s="141"/>
      <c r="I13" s="141"/>
      <c r="J13" s="141"/>
      <c r="K13" s="141"/>
      <c r="L13" s="141"/>
      <c r="M13" s="130">
        <f t="shared" si="0"/>
        <v>0</v>
      </c>
      <c r="N13" s="89"/>
      <c r="O13" s="116" t="str">
        <f t="shared" si="1"/>
        <v/>
      </c>
      <c r="P13" s="26"/>
      <c r="T13" s="18"/>
      <c r="V13" s="138" t="str">
        <f t="shared" si="2"/>
        <v/>
      </c>
      <c r="W13" s="27"/>
      <c r="AB13"/>
      <c r="AD13" s="98"/>
      <c r="AE13" s="45" t="s">
        <v>36</v>
      </c>
      <c r="AI13" s="41"/>
      <c r="AJ13" s="26" t="s">
        <v>88</v>
      </c>
      <c r="AK13" s="35"/>
      <c r="AL13" s="112">
        <f t="shared" si="3"/>
        <v>0</v>
      </c>
      <c r="AN13" s="41"/>
      <c r="AO13" t="s">
        <v>37</v>
      </c>
      <c r="AP13" s="26"/>
      <c r="AQ13" s="112">
        <f t="shared" si="4"/>
        <v>0</v>
      </c>
    </row>
    <row r="14" spans="1:43" ht="14.45" customHeight="1" x14ac:dyDescent="0.25">
      <c r="A14" s="28"/>
      <c r="B14" s="65"/>
      <c r="C14" s="66"/>
      <c r="D14" s="59"/>
      <c r="E14" s="60"/>
      <c r="F14" s="139"/>
      <c r="G14" s="139"/>
      <c r="H14" s="139"/>
      <c r="I14" s="139"/>
      <c r="J14" s="139"/>
      <c r="K14" s="139"/>
      <c r="L14" s="140"/>
      <c r="M14" s="130">
        <f t="shared" si="0"/>
        <v>0</v>
      </c>
      <c r="N14" s="88"/>
      <c r="O14" s="116" t="str">
        <f t="shared" si="1"/>
        <v/>
      </c>
      <c r="P14" s="26"/>
      <c r="T14" s="18"/>
      <c r="V14" s="138" t="str">
        <f t="shared" si="2"/>
        <v/>
      </c>
      <c r="W14" s="27"/>
      <c r="AB14"/>
      <c r="AD14" s="98"/>
      <c r="AI14" s="41"/>
      <c r="AJ14" s="46"/>
      <c r="AK14" s="46"/>
      <c r="AL14" s="46"/>
      <c r="AN14" s="41"/>
      <c r="AO14" t="s">
        <v>38</v>
      </c>
      <c r="AP14" s="26"/>
      <c r="AQ14" s="112">
        <f t="shared" si="4"/>
        <v>0</v>
      </c>
    </row>
    <row r="15" spans="1:43" ht="14.45" customHeight="1" thickBot="1" x14ac:dyDescent="0.3">
      <c r="A15" s="28"/>
      <c r="B15" s="65"/>
      <c r="C15" s="66"/>
      <c r="D15" s="59"/>
      <c r="E15" s="60"/>
      <c r="F15" s="139"/>
      <c r="G15" s="139"/>
      <c r="H15" s="139"/>
      <c r="I15" s="139"/>
      <c r="J15" s="139"/>
      <c r="K15" s="139"/>
      <c r="L15" s="140"/>
      <c r="M15" s="130">
        <f t="shared" si="0"/>
        <v>0</v>
      </c>
      <c r="N15" s="88"/>
      <c r="O15" s="116" t="str">
        <f t="shared" si="1"/>
        <v/>
      </c>
      <c r="P15" s="26"/>
      <c r="T15" s="18"/>
      <c r="V15" s="138" t="str">
        <f t="shared" si="2"/>
        <v/>
      </c>
      <c r="W15" s="27"/>
      <c r="AB15"/>
      <c r="AD15" s="98"/>
      <c r="AE15" s="46"/>
      <c r="AG15" s="44"/>
      <c r="AI15" s="41"/>
      <c r="AN15" s="41"/>
      <c r="AO15" t="s">
        <v>39</v>
      </c>
      <c r="AP15" s="26"/>
      <c r="AQ15" s="112">
        <f t="shared" si="4"/>
        <v>0</v>
      </c>
    </row>
    <row r="16" spans="1:43" ht="14.45" customHeight="1" thickTop="1" thickBot="1" x14ac:dyDescent="0.3">
      <c r="A16" s="28"/>
      <c r="B16" s="54"/>
      <c r="C16" s="67"/>
      <c r="D16" s="2"/>
      <c r="E16" s="33"/>
      <c r="F16" s="137"/>
      <c r="G16" s="137"/>
      <c r="H16" s="137"/>
      <c r="I16" s="137"/>
      <c r="J16" s="137"/>
      <c r="K16" s="137"/>
      <c r="L16" s="142"/>
      <c r="M16" s="130">
        <f t="shared" si="0"/>
        <v>0</v>
      </c>
      <c r="N16" s="90"/>
      <c r="O16" s="116" t="str">
        <f t="shared" si="1"/>
        <v/>
      </c>
      <c r="P16" s="26"/>
      <c r="T16" s="18"/>
      <c r="V16" s="138" t="str">
        <f t="shared" si="2"/>
        <v/>
      </c>
      <c r="W16" s="27"/>
      <c r="AB16"/>
      <c r="AD16" s="98"/>
      <c r="AE16" s="47"/>
      <c r="AG16" s="43"/>
      <c r="AI16" s="41"/>
      <c r="AJ16" s="35" t="s">
        <v>40</v>
      </c>
      <c r="AK16" s="35" t="s">
        <v>27</v>
      </c>
      <c r="AL16" s="111">
        <f>SUM(AL10:AL15)</f>
        <v>0</v>
      </c>
      <c r="AN16" s="41"/>
      <c r="AO16" s="45" t="s">
        <v>41</v>
      </c>
      <c r="AP16" s="26"/>
      <c r="AQ16" s="112">
        <f t="shared" si="4"/>
        <v>0</v>
      </c>
    </row>
    <row r="17" spans="1:43" ht="14.45" customHeight="1" thickTop="1" x14ac:dyDescent="0.25">
      <c r="A17" s="28"/>
      <c r="B17" s="54"/>
      <c r="C17" s="67"/>
      <c r="D17" s="2"/>
      <c r="E17" s="33"/>
      <c r="F17" s="137"/>
      <c r="G17" s="137"/>
      <c r="H17" s="137"/>
      <c r="I17" s="137"/>
      <c r="J17" s="137"/>
      <c r="K17" s="137"/>
      <c r="L17" s="142"/>
      <c r="M17" s="130">
        <f t="shared" si="0"/>
        <v>0</v>
      </c>
      <c r="N17" s="90"/>
      <c r="O17" s="116" t="str">
        <f t="shared" si="1"/>
        <v/>
      </c>
      <c r="P17" s="26"/>
      <c r="T17" s="18"/>
      <c r="V17" s="138" t="str">
        <f t="shared" si="2"/>
        <v/>
      </c>
      <c r="W17" s="27"/>
      <c r="AB17" s="102"/>
      <c r="AD17" s="98"/>
      <c r="AE17" s="47"/>
      <c r="AG17" s="43"/>
      <c r="AI17" s="41"/>
      <c r="AJ17" s="46"/>
      <c r="AK17" s="46"/>
      <c r="AL17" s="46"/>
      <c r="AN17" s="41"/>
      <c r="AO17" t="s">
        <v>42</v>
      </c>
      <c r="AP17" s="26"/>
      <c r="AQ17" s="112">
        <f t="shared" si="4"/>
        <v>0</v>
      </c>
    </row>
    <row r="18" spans="1:43" ht="14.45" customHeight="1" x14ac:dyDescent="0.25">
      <c r="A18" s="28"/>
      <c r="B18" s="54"/>
      <c r="C18" s="67"/>
      <c r="D18" s="2"/>
      <c r="E18" s="33"/>
      <c r="F18" s="137"/>
      <c r="G18" s="137"/>
      <c r="H18" s="137"/>
      <c r="I18" s="137"/>
      <c r="J18" s="137"/>
      <c r="K18" s="137"/>
      <c r="L18" s="142"/>
      <c r="M18" s="130">
        <f t="shared" si="0"/>
        <v>0</v>
      </c>
      <c r="N18" s="90"/>
      <c r="O18" s="116" t="str">
        <f t="shared" si="1"/>
        <v/>
      </c>
      <c r="P18" s="26"/>
      <c r="T18" s="18"/>
      <c r="V18" s="138" t="str">
        <f t="shared" si="2"/>
        <v/>
      </c>
      <c r="W18" s="27"/>
      <c r="AB18" s="102"/>
      <c r="AD18" s="98"/>
      <c r="AE18" s="47"/>
      <c r="AG18" s="43"/>
      <c r="AI18" s="41"/>
      <c r="AK18" s="135"/>
      <c r="AL18" s="135"/>
      <c r="AM18" s="135"/>
      <c r="AN18" s="40"/>
      <c r="AO18" t="s">
        <v>43</v>
      </c>
      <c r="AP18" s="26"/>
      <c r="AQ18" s="112">
        <f t="shared" si="4"/>
        <v>0</v>
      </c>
    </row>
    <row r="19" spans="1:43" ht="14.45" customHeight="1" x14ac:dyDescent="0.25">
      <c r="A19" s="28"/>
      <c r="B19" s="54"/>
      <c r="C19" s="67"/>
      <c r="D19" s="2"/>
      <c r="E19" s="33"/>
      <c r="F19" s="137"/>
      <c r="G19" s="137"/>
      <c r="H19" s="137"/>
      <c r="I19" s="137"/>
      <c r="J19" s="137"/>
      <c r="K19" s="137"/>
      <c r="L19" s="142"/>
      <c r="M19" s="130">
        <f t="shared" si="0"/>
        <v>0</v>
      </c>
      <c r="N19" s="90"/>
      <c r="O19" s="116" t="str">
        <f t="shared" si="1"/>
        <v/>
      </c>
      <c r="P19" s="26"/>
      <c r="T19" s="18"/>
      <c r="V19" s="138" t="str">
        <f t="shared" si="2"/>
        <v/>
      </c>
      <c r="W19" s="27"/>
      <c r="X19" s="27"/>
      <c r="Y19" s="27"/>
      <c r="Z19" s="99"/>
      <c r="AC19" s="27"/>
      <c r="AE19" s="47"/>
      <c r="AG19" s="43"/>
      <c r="AI19" s="41"/>
      <c r="AJ19" s="153" t="s">
        <v>44</v>
      </c>
      <c r="AK19" s="153"/>
      <c r="AL19" s="153"/>
      <c r="AM19" s="135"/>
      <c r="AN19" s="40"/>
      <c r="AO19" t="s">
        <v>45</v>
      </c>
      <c r="AP19" s="26"/>
      <c r="AQ19" s="112">
        <f t="shared" si="4"/>
        <v>0</v>
      </c>
    </row>
    <row r="20" spans="1:43" ht="14.45" customHeight="1" x14ac:dyDescent="0.25">
      <c r="A20" s="28"/>
      <c r="B20" s="54"/>
      <c r="C20" s="67"/>
      <c r="D20" s="2"/>
      <c r="E20" s="33"/>
      <c r="F20" s="137"/>
      <c r="G20" s="137"/>
      <c r="H20" s="137"/>
      <c r="I20" s="137"/>
      <c r="J20" s="137"/>
      <c r="K20" s="137"/>
      <c r="L20" s="142"/>
      <c r="M20" s="130">
        <f t="shared" si="0"/>
        <v>0</v>
      </c>
      <c r="N20" s="90"/>
      <c r="O20" s="116" t="str">
        <f t="shared" si="1"/>
        <v/>
      </c>
      <c r="P20" s="26"/>
      <c r="T20" s="18"/>
      <c r="V20" s="138" t="str">
        <f t="shared" si="2"/>
        <v/>
      </c>
      <c r="W20" s="27"/>
      <c r="X20" s="27"/>
      <c r="Y20" s="27"/>
      <c r="Z20" s="99"/>
      <c r="AC20" s="27"/>
      <c r="AE20" s="47"/>
      <c r="AG20" s="43"/>
      <c r="AI20" s="41"/>
      <c r="AN20" s="41"/>
      <c r="AO20" t="s">
        <v>46</v>
      </c>
      <c r="AP20" s="26"/>
      <c r="AQ20" s="112">
        <f t="shared" si="4"/>
        <v>0</v>
      </c>
    </row>
    <row r="21" spans="1:43" ht="14.45" customHeight="1" x14ac:dyDescent="0.25">
      <c r="A21" s="28"/>
      <c r="B21" s="54"/>
      <c r="C21" s="67"/>
      <c r="D21" s="2"/>
      <c r="E21" s="33"/>
      <c r="F21" s="137"/>
      <c r="G21" s="137"/>
      <c r="H21" s="137"/>
      <c r="I21" s="137"/>
      <c r="J21" s="137"/>
      <c r="K21" s="137"/>
      <c r="L21" s="142"/>
      <c r="M21" s="130">
        <f t="shared" si="0"/>
        <v>0</v>
      </c>
      <c r="N21" s="90"/>
      <c r="O21" s="116" t="str">
        <f t="shared" si="1"/>
        <v/>
      </c>
      <c r="P21" s="26"/>
      <c r="T21" s="18"/>
      <c r="V21" s="138" t="str">
        <f t="shared" si="2"/>
        <v/>
      </c>
      <c r="W21" s="27"/>
      <c r="X21" s="27"/>
      <c r="Y21" s="27"/>
      <c r="Z21" s="99"/>
      <c r="AC21" s="27"/>
      <c r="AE21" s="47"/>
      <c r="AG21" s="43"/>
      <c r="AI21" s="41"/>
      <c r="AJ21" t="s">
        <v>47</v>
      </c>
      <c r="AL21" s="112">
        <f t="shared" ref="AL21:AL34" si="5">IFERROR(VLOOKUP(AJ21,$AA$2:$AB$115,2,FALSE),0)</f>
        <v>0</v>
      </c>
      <c r="AN21" s="41"/>
      <c r="AO21" t="s">
        <v>48</v>
      </c>
      <c r="AP21" s="26"/>
      <c r="AQ21" s="112">
        <f t="shared" si="4"/>
        <v>0</v>
      </c>
    </row>
    <row r="22" spans="1:43" ht="14.45" customHeight="1" x14ac:dyDescent="0.25">
      <c r="A22" s="28"/>
      <c r="B22" s="54"/>
      <c r="C22" s="67"/>
      <c r="D22" s="2"/>
      <c r="E22" s="33"/>
      <c r="F22" s="137"/>
      <c r="G22" s="137"/>
      <c r="H22" s="137"/>
      <c r="I22" s="137"/>
      <c r="J22" s="137"/>
      <c r="K22" s="137"/>
      <c r="L22" s="142"/>
      <c r="M22" s="130">
        <f t="shared" si="0"/>
        <v>0</v>
      </c>
      <c r="N22" s="90"/>
      <c r="O22" s="116" t="str">
        <f t="shared" si="1"/>
        <v/>
      </c>
      <c r="P22" s="26"/>
      <c r="T22" s="18"/>
      <c r="V22" s="138" t="str">
        <f t="shared" si="2"/>
        <v/>
      </c>
      <c r="AE22" s="47"/>
      <c r="AG22" s="43"/>
      <c r="AI22" s="41"/>
      <c r="AJ22" t="s">
        <v>49</v>
      </c>
      <c r="AL22" s="112">
        <f t="shared" si="5"/>
        <v>0</v>
      </c>
      <c r="AN22" s="41"/>
      <c r="AO22" s="48" t="s">
        <v>50</v>
      </c>
      <c r="AP22" s="26"/>
      <c r="AQ22" s="112">
        <f t="shared" si="4"/>
        <v>0</v>
      </c>
    </row>
    <row r="23" spans="1:43" ht="14.45" customHeight="1" x14ac:dyDescent="0.25">
      <c r="A23" s="28"/>
      <c r="B23" s="54"/>
      <c r="C23" s="67"/>
      <c r="D23" s="2"/>
      <c r="E23" s="33"/>
      <c r="F23" s="137"/>
      <c r="G23" s="137"/>
      <c r="H23" s="137"/>
      <c r="I23" s="137"/>
      <c r="J23" s="137"/>
      <c r="K23" s="137"/>
      <c r="L23" s="142"/>
      <c r="M23" s="130">
        <f t="shared" si="0"/>
        <v>0</v>
      </c>
      <c r="N23" s="90"/>
      <c r="O23" s="116" t="str">
        <f t="shared" si="1"/>
        <v/>
      </c>
      <c r="P23" s="26"/>
      <c r="T23" s="18"/>
      <c r="V23" s="138" t="str">
        <f t="shared" si="2"/>
        <v/>
      </c>
      <c r="AE23" s="47"/>
      <c r="AG23" s="43"/>
      <c r="AI23" s="41"/>
      <c r="AJ23" t="s">
        <v>51</v>
      </c>
      <c r="AL23" s="112">
        <f t="shared" si="5"/>
        <v>0</v>
      </c>
      <c r="AN23" s="41"/>
      <c r="AO23" t="s">
        <v>52</v>
      </c>
      <c r="AP23" s="26"/>
      <c r="AQ23" s="112">
        <f t="shared" si="4"/>
        <v>0</v>
      </c>
    </row>
    <row r="24" spans="1:43" ht="14.45" customHeight="1" x14ac:dyDescent="0.25">
      <c r="A24" s="28"/>
      <c r="B24" s="54"/>
      <c r="C24" s="67"/>
      <c r="D24" s="2"/>
      <c r="E24" s="33"/>
      <c r="F24" s="137"/>
      <c r="G24" s="137"/>
      <c r="H24" s="137"/>
      <c r="I24" s="137"/>
      <c r="J24" s="137"/>
      <c r="K24" s="137"/>
      <c r="L24" s="142"/>
      <c r="M24" s="130">
        <f t="shared" si="0"/>
        <v>0</v>
      </c>
      <c r="N24" s="90"/>
      <c r="O24" s="116" t="str">
        <f t="shared" si="1"/>
        <v/>
      </c>
      <c r="P24" s="26"/>
      <c r="T24" s="18"/>
      <c r="V24" s="138" t="str">
        <f t="shared" si="2"/>
        <v/>
      </c>
      <c r="AE24" s="47"/>
      <c r="AG24" s="43"/>
      <c r="AI24" s="41"/>
      <c r="AJ24" t="s">
        <v>53</v>
      </c>
      <c r="AL24" s="112">
        <f t="shared" si="5"/>
        <v>0</v>
      </c>
      <c r="AN24" s="41"/>
      <c r="AO24" t="s">
        <v>54</v>
      </c>
      <c r="AP24" s="26"/>
      <c r="AQ24" s="112">
        <f t="shared" si="4"/>
        <v>0</v>
      </c>
    </row>
    <row r="25" spans="1:43" ht="14.45" customHeight="1" x14ac:dyDescent="0.25">
      <c r="A25" s="28"/>
      <c r="B25" s="54"/>
      <c r="C25" s="67"/>
      <c r="D25" s="2"/>
      <c r="E25" s="33"/>
      <c r="F25" s="137"/>
      <c r="G25" s="137"/>
      <c r="H25" s="137"/>
      <c r="I25" s="137"/>
      <c r="J25" s="137"/>
      <c r="K25" s="137"/>
      <c r="L25" s="142"/>
      <c r="M25" s="130">
        <f t="shared" si="0"/>
        <v>0</v>
      </c>
      <c r="N25" s="90"/>
      <c r="O25" s="116" t="str">
        <f t="shared" si="1"/>
        <v/>
      </c>
      <c r="P25" s="26"/>
      <c r="T25" s="18"/>
      <c r="V25" s="138" t="str">
        <f t="shared" si="2"/>
        <v/>
      </c>
      <c r="AE25" s="47"/>
      <c r="AG25" s="43"/>
      <c r="AI25" s="41"/>
      <c r="AJ25" t="s">
        <v>55</v>
      </c>
      <c r="AL25" s="112">
        <f t="shared" si="5"/>
        <v>0</v>
      </c>
      <c r="AN25" s="41"/>
      <c r="AO25" t="s">
        <v>56</v>
      </c>
      <c r="AP25" s="26"/>
      <c r="AQ25" s="112">
        <f t="shared" si="4"/>
        <v>0</v>
      </c>
    </row>
    <row r="26" spans="1:43" ht="14.45" customHeight="1" x14ac:dyDescent="0.25">
      <c r="A26" s="28"/>
      <c r="B26" s="54"/>
      <c r="C26" s="67"/>
      <c r="D26" s="2"/>
      <c r="E26" s="33"/>
      <c r="F26" s="137"/>
      <c r="G26" s="137"/>
      <c r="H26" s="137"/>
      <c r="I26" s="137"/>
      <c r="J26" s="137"/>
      <c r="K26" s="137"/>
      <c r="L26" s="142"/>
      <c r="M26" s="130">
        <f t="shared" si="0"/>
        <v>0</v>
      </c>
      <c r="N26" s="90"/>
      <c r="O26" s="116" t="str">
        <f t="shared" si="1"/>
        <v/>
      </c>
      <c r="P26" s="26"/>
      <c r="T26" s="18"/>
      <c r="V26" s="138" t="str">
        <f t="shared" si="2"/>
        <v/>
      </c>
      <c r="AE26" s="47"/>
      <c r="AG26" s="43"/>
      <c r="AI26" s="41"/>
      <c r="AJ26" t="s">
        <v>57</v>
      </c>
      <c r="AL26" s="112">
        <f t="shared" si="5"/>
        <v>0</v>
      </c>
      <c r="AN26" s="41"/>
      <c r="AO26" t="s">
        <v>58</v>
      </c>
      <c r="AP26" s="26"/>
      <c r="AQ26" s="112">
        <f t="shared" si="4"/>
        <v>0</v>
      </c>
    </row>
    <row r="27" spans="1:43" ht="14.45" customHeight="1" thickBot="1" x14ac:dyDescent="0.3">
      <c r="A27" s="28"/>
      <c r="B27" s="54"/>
      <c r="C27" s="67"/>
      <c r="D27" s="2"/>
      <c r="E27" s="33"/>
      <c r="F27" s="137"/>
      <c r="G27" s="137"/>
      <c r="H27" s="137"/>
      <c r="I27" s="137"/>
      <c r="J27" s="137"/>
      <c r="K27" s="137"/>
      <c r="L27" s="142"/>
      <c r="M27" s="130">
        <f t="shared" si="0"/>
        <v>0</v>
      </c>
      <c r="N27" s="90"/>
      <c r="O27" s="116" t="str">
        <f t="shared" si="1"/>
        <v/>
      </c>
      <c r="P27" s="26"/>
      <c r="T27" s="18"/>
      <c r="V27" s="138" t="str">
        <f t="shared" si="2"/>
        <v/>
      </c>
      <c r="AE27" s="47"/>
      <c r="AG27" s="43"/>
      <c r="AI27" s="41"/>
      <c r="AJ27" t="s">
        <v>59</v>
      </c>
      <c r="AL27" s="112">
        <f t="shared" si="5"/>
        <v>0</v>
      </c>
      <c r="AN27" s="41"/>
      <c r="AO27" t="s">
        <v>60</v>
      </c>
      <c r="AP27" s="26"/>
      <c r="AQ27" s="112">
        <f t="shared" si="4"/>
        <v>0</v>
      </c>
    </row>
    <row r="28" spans="1:43" ht="14.45" customHeight="1" thickTop="1" thickBot="1" x14ac:dyDescent="0.3">
      <c r="A28" s="28"/>
      <c r="B28" s="54"/>
      <c r="C28" s="67"/>
      <c r="D28" s="2"/>
      <c r="E28" s="33"/>
      <c r="F28" s="137"/>
      <c r="G28" s="137"/>
      <c r="H28" s="137"/>
      <c r="I28" s="137"/>
      <c r="J28" s="137"/>
      <c r="K28" s="137"/>
      <c r="L28" s="142"/>
      <c r="M28" s="130">
        <f t="shared" si="0"/>
        <v>0</v>
      </c>
      <c r="N28" s="90"/>
      <c r="O28" s="116" t="str">
        <f t="shared" si="1"/>
        <v/>
      </c>
      <c r="P28" s="26"/>
      <c r="T28" s="18"/>
      <c r="V28" s="138" t="str">
        <f t="shared" si="2"/>
        <v/>
      </c>
      <c r="AE28" s="47"/>
      <c r="AG28" s="43"/>
      <c r="AI28" s="41"/>
      <c r="AJ28" t="s">
        <v>61</v>
      </c>
      <c r="AL28" s="112">
        <f t="shared" si="5"/>
        <v>0</v>
      </c>
      <c r="AN28" s="41"/>
      <c r="AO28" s="49" t="s">
        <v>62</v>
      </c>
      <c r="AP28" s="50" t="s">
        <v>27</v>
      </c>
      <c r="AQ28" s="111">
        <f>SUM(AQ10:AQ26)</f>
        <v>0</v>
      </c>
    </row>
    <row r="29" spans="1:43" ht="14.45" customHeight="1" thickTop="1" x14ac:dyDescent="0.25">
      <c r="A29" s="28"/>
      <c r="B29" s="54"/>
      <c r="C29" s="67"/>
      <c r="D29" s="2"/>
      <c r="E29" s="33"/>
      <c r="F29" s="137"/>
      <c r="G29" s="137"/>
      <c r="H29" s="137"/>
      <c r="I29" s="137"/>
      <c r="J29" s="137"/>
      <c r="K29" s="137"/>
      <c r="L29" s="142"/>
      <c r="M29" s="130">
        <f t="shared" si="0"/>
        <v>0</v>
      </c>
      <c r="N29" s="90"/>
      <c r="O29" s="116" t="str">
        <f t="shared" si="1"/>
        <v/>
      </c>
      <c r="P29" s="26"/>
      <c r="T29" s="18"/>
      <c r="V29" s="138" t="str">
        <f t="shared" si="2"/>
        <v/>
      </c>
      <c r="AE29" s="46"/>
      <c r="AG29" s="43"/>
      <c r="AI29" s="41"/>
      <c r="AJ29" t="s">
        <v>63</v>
      </c>
      <c r="AL29" s="112">
        <f t="shared" si="5"/>
        <v>0</v>
      </c>
      <c r="AN29" s="41"/>
      <c r="AP29" s="35"/>
      <c r="AQ29" s="27"/>
    </row>
    <row r="30" spans="1:43" ht="14.45" customHeight="1" thickBot="1" x14ac:dyDescent="0.3">
      <c r="A30" s="28"/>
      <c r="B30" s="54"/>
      <c r="C30" s="67"/>
      <c r="D30" s="59"/>
      <c r="E30" s="60"/>
      <c r="F30" s="137"/>
      <c r="G30" s="137"/>
      <c r="H30" s="137"/>
      <c r="I30" s="137"/>
      <c r="J30" s="137"/>
      <c r="K30" s="137"/>
      <c r="L30" s="142"/>
      <c r="M30" s="130">
        <f t="shared" si="0"/>
        <v>0</v>
      </c>
      <c r="N30" s="90"/>
      <c r="O30" s="116" t="str">
        <f t="shared" si="1"/>
        <v/>
      </c>
      <c r="P30" s="26"/>
      <c r="T30" s="18"/>
      <c r="V30" s="138" t="str">
        <f t="shared" si="2"/>
        <v/>
      </c>
      <c r="AI30" s="41"/>
      <c r="AJ30" t="s">
        <v>64</v>
      </c>
      <c r="AL30" s="112">
        <f t="shared" si="5"/>
        <v>0</v>
      </c>
      <c r="AN30" s="41"/>
      <c r="AP30" s="26"/>
      <c r="AQ30" s="27"/>
    </row>
    <row r="31" spans="1:43" ht="14.45" customHeight="1" thickTop="1" thickBot="1" x14ac:dyDescent="0.3">
      <c r="A31" s="28"/>
      <c r="B31" s="54"/>
      <c r="C31" s="67"/>
      <c r="D31" s="2"/>
      <c r="E31" s="33"/>
      <c r="F31" s="137"/>
      <c r="G31" s="137"/>
      <c r="H31" s="137"/>
      <c r="I31" s="137"/>
      <c r="J31" s="137"/>
      <c r="K31" s="137"/>
      <c r="L31" s="142"/>
      <c r="M31" s="130">
        <f t="shared" si="0"/>
        <v>0</v>
      </c>
      <c r="N31" s="90"/>
      <c r="O31" s="116" t="str">
        <f t="shared" si="1"/>
        <v/>
      </c>
      <c r="P31" s="26"/>
      <c r="T31" s="18"/>
      <c r="V31" s="138" t="str">
        <f t="shared" si="2"/>
        <v/>
      </c>
      <c r="AE31" s="35" t="s">
        <v>65</v>
      </c>
      <c r="AF31" s="35" t="s">
        <v>27</v>
      </c>
      <c r="AG31" s="111">
        <f>SUM(AG15:AG29)</f>
        <v>0</v>
      </c>
      <c r="AI31" s="41"/>
      <c r="AJ31" t="s">
        <v>66</v>
      </c>
      <c r="AL31" s="112">
        <f t="shared" si="5"/>
        <v>0</v>
      </c>
      <c r="AN31" s="41"/>
      <c r="AO31" s="35" t="s">
        <v>67</v>
      </c>
      <c r="AP31" s="35" t="s">
        <v>27</v>
      </c>
      <c r="AQ31" s="111">
        <f>SUM(AL16,AL37,AQ28)</f>
        <v>0</v>
      </c>
    </row>
    <row r="32" spans="1:43" ht="14.45" customHeight="1" thickTop="1" thickBot="1" x14ac:dyDescent="0.3">
      <c r="A32" s="28"/>
      <c r="B32" s="54"/>
      <c r="C32" s="67"/>
      <c r="D32" s="2"/>
      <c r="E32" s="33"/>
      <c r="F32" s="137"/>
      <c r="G32" s="137"/>
      <c r="H32" s="137"/>
      <c r="I32" s="137"/>
      <c r="J32" s="137"/>
      <c r="K32" s="137"/>
      <c r="L32" s="142"/>
      <c r="M32" s="130">
        <f t="shared" si="0"/>
        <v>0</v>
      </c>
      <c r="N32" s="90"/>
      <c r="O32" s="116" t="str">
        <f t="shared" si="1"/>
        <v/>
      </c>
      <c r="P32" s="26"/>
      <c r="T32" s="18"/>
      <c r="V32" s="138" t="str">
        <f t="shared" si="2"/>
        <v/>
      </c>
      <c r="AG32" s="27"/>
      <c r="AI32" s="41"/>
      <c r="AJ32" t="s">
        <v>68</v>
      </c>
      <c r="AL32" s="112">
        <f t="shared" si="5"/>
        <v>0</v>
      </c>
      <c r="AN32" s="41"/>
      <c r="AO32" s="45" t="s">
        <v>69</v>
      </c>
      <c r="AP32" s="35"/>
      <c r="AQ32" s="27"/>
    </row>
    <row r="33" spans="1:44" ht="14.45" customHeight="1" thickTop="1" thickBot="1" x14ac:dyDescent="0.3">
      <c r="A33" s="28"/>
      <c r="B33" s="54"/>
      <c r="C33" s="67"/>
      <c r="D33" s="2"/>
      <c r="E33" s="33"/>
      <c r="F33" s="137"/>
      <c r="G33" s="137"/>
      <c r="H33" s="137"/>
      <c r="I33" s="137"/>
      <c r="J33" s="137"/>
      <c r="K33" s="137"/>
      <c r="L33" s="142"/>
      <c r="M33" s="130">
        <f t="shared" si="0"/>
        <v>0</v>
      </c>
      <c r="N33" s="90"/>
      <c r="O33" s="116" t="str">
        <f t="shared" si="1"/>
        <v/>
      </c>
      <c r="P33" s="26"/>
      <c r="T33" s="18"/>
      <c r="V33" s="138" t="str">
        <f t="shared" si="2"/>
        <v/>
      </c>
      <c r="AE33" s="35" t="s">
        <v>70</v>
      </c>
      <c r="AF33" s="35" t="s">
        <v>27</v>
      </c>
      <c r="AG33" s="111">
        <f>SUM(AG9,AG10,AG31)</f>
        <v>0</v>
      </c>
      <c r="AI33" s="41"/>
      <c r="AJ33" t="s">
        <v>71</v>
      </c>
      <c r="AL33" s="112">
        <f t="shared" si="5"/>
        <v>0</v>
      </c>
      <c r="AN33" s="41"/>
      <c r="AP33" s="26"/>
      <c r="AQ33" s="27"/>
    </row>
    <row r="34" spans="1:44" ht="14.45" customHeight="1" thickTop="1" thickBot="1" x14ac:dyDescent="0.3">
      <c r="A34" s="28"/>
      <c r="B34" s="61"/>
      <c r="C34" s="68"/>
      <c r="D34" s="62"/>
      <c r="E34" s="63"/>
      <c r="F34" s="136"/>
      <c r="G34" s="136"/>
      <c r="H34" s="136"/>
      <c r="I34" s="136"/>
      <c r="J34" s="136"/>
      <c r="K34" s="136"/>
      <c r="L34" s="143"/>
      <c r="M34" s="130">
        <f t="shared" si="0"/>
        <v>0</v>
      </c>
      <c r="N34" s="90"/>
      <c r="O34" s="116" t="str">
        <f t="shared" si="1"/>
        <v/>
      </c>
      <c r="P34" s="26"/>
      <c r="T34" s="18"/>
      <c r="V34" s="138" t="str">
        <f t="shared" si="2"/>
        <v/>
      </c>
      <c r="AE34" s="51" t="s">
        <v>72</v>
      </c>
      <c r="AI34" s="41"/>
      <c r="AJ34" t="s">
        <v>73</v>
      </c>
      <c r="AL34" s="112">
        <f t="shared" si="5"/>
        <v>0</v>
      </c>
      <c r="AN34" s="41"/>
      <c r="AP34" s="26"/>
      <c r="AQ34" s="27"/>
    </row>
    <row r="35" spans="1:44" ht="14.45" customHeight="1" thickTop="1" thickBot="1" x14ac:dyDescent="0.3">
      <c r="A35" s="28"/>
      <c r="B35" s="54"/>
      <c r="C35" s="67"/>
      <c r="D35" s="2"/>
      <c r="E35" s="33"/>
      <c r="F35" s="137"/>
      <c r="G35" s="137"/>
      <c r="H35" s="137"/>
      <c r="I35" s="137"/>
      <c r="J35" s="137"/>
      <c r="K35" s="137"/>
      <c r="L35" s="137"/>
      <c r="M35" s="130">
        <f t="shared" si="0"/>
        <v>0</v>
      </c>
      <c r="N35" s="90"/>
      <c r="O35" s="116" t="str">
        <f t="shared" si="1"/>
        <v/>
      </c>
      <c r="P35" s="26"/>
      <c r="T35" s="18"/>
      <c r="V35" s="138" t="str">
        <f t="shared" si="2"/>
        <v/>
      </c>
      <c r="AI35" s="52"/>
      <c r="AJ35" s="46"/>
      <c r="AK35" s="46"/>
      <c r="AL35" s="44"/>
      <c r="AM35" s="53"/>
      <c r="AN35" s="41"/>
      <c r="AO35" s="35" t="s">
        <v>74</v>
      </c>
      <c r="AP35" s="35" t="s">
        <v>27</v>
      </c>
      <c r="AQ35" s="111">
        <f>SUM(AG33-AQ31)</f>
        <v>0</v>
      </c>
    </row>
    <row r="36" spans="1:44" ht="14.45" customHeight="1" thickTop="1" thickBot="1" x14ac:dyDescent="0.3">
      <c r="A36" s="28"/>
      <c r="B36" s="54"/>
      <c r="C36" s="67"/>
      <c r="D36" s="2"/>
      <c r="E36" s="33"/>
      <c r="F36" s="137"/>
      <c r="G36" s="137"/>
      <c r="H36" s="137"/>
      <c r="I36" s="137"/>
      <c r="J36" s="137"/>
      <c r="K36" s="137"/>
      <c r="L36" s="137"/>
      <c r="M36" s="130">
        <f t="shared" si="0"/>
        <v>0</v>
      </c>
      <c r="N36" s="90"/>
      <c r="O36" s="116" t="str">
        <f t="shared" si="1"/>
        <v/>
      </c>
      <c r="P36" s="26"/>
      <c r="T36" s="18"/>
      <c r="V36" s="138" t="str">
        <f t="shared" si="2"/>
        <v/>
      </c>
      <c r="AI36" s="41"/>
      <c r="AL36" s="27"/>
      <c r="AN36" s="41"/>
      <c r="AO36" s="45" t="s">
        <v>75</v>
      </c>
      <c r="AP36" s="26"/>
    </row>
    <row r="37" spans="1:44" ht="14.45" customHeight="1" thickTop="1" thickBot="1" x14ac:dyDescent="0.3">
      <c r="A37" s="28"/>
      <c r="B37" s="54"/>
      <c r="C37" s="67"/>
      <c r="D37" s="2"/>
      <c r="E37" s="33"/>
      <c r="F37" s="137"/>
      <c r="G37" s="137"/>
      <c r="H37" s="137"/>
      <c r="I37" s="137"/>
      <c r="J37" s="137"/>
      <c r="K37" s="137"/>
      <c r="L37" s="137"/>
      <c r="M37" s="130">
        <f t="shared" si="0"/>
        <v>0</v>
      </c>
      <c r="N37" s="90"/>
      <c r="O37" s="116" t="str">
        <f t="shared" si="1"/>
        <v/>
      </c>
      <c r="P37" s="26"/>
      <c r="T37" s="18"/>
      <c r="V37" s="138" t="str">
        <f t="shared" si="2"/>
        <v/>
      </c>
      <c r="AI37" s="41"/>
      <c r="AJ37" s="35" t="s">
        <v>76</v>
      </c>
      <c r="AK37" s="35" t="s">
        <v>27</v>
      </c>
      <c r="AL37" s="111">
        <f>SUM(AL21:AL34)</f>
        <v>0</v>
      </c>
      <c r="AN37" s="41"/>
      <c r="AP37" s="26"/>
    </row>
    <row r="38" spans="1:44" ht="14.45" customHeight="1" thickTop="1" x14ac:dyDescent="0.25">
      <c r="A38" s="28"/>
      <c r="B38" s="54"/>
      <c r="C38" s="67"/>
      <c r="D38" s="2"/>
      <c r="E38" s="33"/>
      <c r="F38" s="137"/>
      <c r="G38" s="137"/>
      <c r="H38" s="137"/>
      <c r="I38" s="137"/>
      <c r="J38" s="137"/>
      <c r="K38" s="137"/>
      <c r="L38" s="137"/>
      <c r="M38" s="130">
        <f t="shared" si="0"/>
        <v>0</v>
      </c>
      <c r="N38" s="90"/>
      <c r="O38" s="116" t="str">
        <f t="shared" si="1"/>
        <v/>
      </c>
      <c r="P38" s="26"/>
      <c r="T38" s="18"/>
      <c r="V38" s="138" t="str">
        <f t="shared" si="2"/>
        <v/>
      </c>
      <c r="AI38" s="52"/>
      <c r="AJ38" s="46"/>
      <c r="AK38" s="46"/>
      <c r="AL38" s="46"/>
      <c r="AM38" s="46"/>
      <c r="AN38" s="41"/>
      <c r="AP38" s="26"/>
    </row>
    <row r="39" spans="1:44" ht="14.45" customHeight="1" x14ac:dyDescent="0.25">
      <c r="A39" s="28"/>
      <c r="B39" s="54"/>
      <c r="C39" s="67"/>
      <c r="D39" s="2"/>
      <c r="E39" s="33"/>
      <c r="F39" s="137"/>
      <c r="G39" s="137"/>
      <c r="H39" s="137"/>
      <c r="I39" s="137"/>
      <c r="J39" s="137"/>
      <c r="K39" s="137"/>
      <c r="L39" s="137"/>
      <c r="M39" s="130">
        <f t="shared" si="0"/>
        <v>0</v>
      </c>
      <c r="N39" s="90"/>
      <c r="O39" s="116" t="str">
        <f t="shared" si="1"/>
        <v/>
      </c>
      <c r="P39" s="26"/>
      <c r="T39" s="18"/>
      <c r="V39" s="138" t="str">
        <f t="shared" si="2"/>
        <v/>
      </c>
    </row>
    <row r="40" spans="1:44" ht="14.45" customHeight="1" x14ac:dyDescent="0.25">
      <c r="A40" s="28"/>
      <c r="B40" s="54"/>
      <c r="C40" s="67"/>
      <c r="D40" s="2"/>
      <c r="E40" s="33"/>
      <c r="F40" s="137"/>
      <c r="G40" s="137"/>
      <c r="H40" s="137"/>
      <c r="I40" s="137"/>
      <c r="J40" s="137"/>
      <c r="K40" s="137"/>
      <c r="L40" s="137"/>
      <c r="M40" s="130">
        <f t="shared" si="0"/>
        <v>0</v>
      </c>
      <c r="N40" s="90"/>
      <c r="O40" s="116" t="str">
        <f t="shared" si="1"/>
        <v/>
      </c>
      <c r="P40" s="26"/>
      <c r="T40" s="18"/>
      <c r="V40" s="138" t="str">
        <f t="shared" si="2"/>
        <v/>
      </c>
    </row>
    <row r="41" spans="1:44" ht="14.45" customHeight="1" x14ac:dyDescent="0.25">
      <c r="A41" s="28"/>
      <c r="B41" s="54"/>
      <c r="C41" s="67"/>
      <c r="D41" s="2"/>
      <c r="E41" s="33"/>
      <c r="F41" s="137"/>
      <c r="G41" s="137"/>
      <c r="H41" s="137"/>
      <c r="I41" s="137"/>
      <c r="J41" s="137"/>
      <c r="K41" s="137"/>
      <c r="L41" s="137"/>
      <c r="M41" s="130">
        <f t="shared" si="0"/>
        <v>0</v>
      </c>
      <c r="N41" s="90"/>
      <c r="O41" s="116" t="str">
        <f t="shared" si="1"/>
        <v/>
      </c>
      <c r="P41" s="26"/>
      <c r="T41" s="18"/>
      <c r="V41" s="138" t="str">
        <f t="shared" si="2"/>
        <v/>
      </c>
    </row>
    <row r="42" spans="1:44" ht="14.45" customHeight="1" x14ac:dyDescent="0.25">
      <c r="A42" s="28"/>
      <c r="B42" s="54"/>
      <c r="C42" s="67"/>
      <c r="D42" s="2"/>
      <c r="E42" s="33"/>
      <c r="F42" s="137"/>
      <c r="G42" s="137"/>
      <c r="H42" s="137"/>
      <c r="I42" s="137"/>
      <c r="J42" s="137"/>
      <c r="K42" s="137"/>
      <c r="L42" s="137"/>
      <c r="M42" s="130">
        <f t="shared" si="0"/>
        <v>0</v>
      </c>
      <c r="N42" s="90"/>
      <c r="O42" s="116" t="str">
        <f t="shared" si="1"/>
        <v/>
      </c>
      <c r="P42" s="26"/>
      <c r="T42" s="18"/>
      <c r="V42" s="138" t="str">
        <f t="shared" si="2"/>
        <v/>
      </c>
    </row>
    <row r="43" spans="1:44" ht="14.45" customHeight="1" x14ac:dyDescent="0.25">
      <c r="A43" s="28"/>
      <c r="B43" s="54"/>
      <c r="C43" s="67"/>
      <c r="D43" s="2"/>
      <c r="E43" s="33"/>
      <c r="F43" s="137"/>
      <c r="G43" s="137"/>
      <c r="H43" s="137"/>
      <c r="I43" s="137"/>
      <c r="J43" s="137"/>
      <c r="K43" s="137"/>
      <c r="L43" s="137"/>
      <c r="M43" s="130">
        <f t="shared" si="0"/>
        <v>0</v>
      </c>
      <c r="N43" s="90"/>
      <c r="O43" s="116" t="str">
        <f t="shared" si="1"/>
        <v/>
      </c>
      <c r="P43" s="26"/>
      <c r="T43" s="18"/>
      <c r="V43" s="138" t="str">
        <f t="shared" si="2"/>
        <v/>
      </c>
    </row>
    <row r="44" spans="1:44" ht="14.45" customHeight="1" x14ac:dyDescent="0.25">
      <c r="A44" s="28"/>
      <c r="B44" s="55"/>
      <c r="C44" s="67"/>
      <c r="D44" s="2"/>
      <c r="E44" s="33"/>
      <c r="F44" s="137"/>
      <c r="G44" s="137"/>
      <c r="H44" s="137"/>
      <c r="I44" s="137"/>
      <c r="J44" s="137"/>
      <c r="K44" s="137"/>
      <c r="L44" s="137"/>
      <c r="M44" s="130">
        <f t="shared" si="0"/>
        <v>0</v>
      </c>
      <c r="N44" s="90"/>
      <c r="O44" s="116" t="str">
        <f t="shared" si="1"/>
        <v/>
      </c>
      <c r="P44" s="26"/>
      <c r="T44" s="18"/>
      <c r="V44" s="138" t="str">
        <f t="shared" si="2"/>
        <v/>
      </c>
    </row>
    <row r="45" spans="1:44" ht="14.45" customHeight="1" x14ac:dyDescent="0.25">
      <c r="A45" s="28"/>
      <c r="B45" s="55"/>
      <c r="C45" s="67"/>
      <c r="D45" s="2"/>
      <c r="E45" s="33"/>
      <c r="F45" s="137"/>
      <c r="G45" s="137"/>
      <c r="H45" s="137"/>
      <c r="I45" s="137"/>
      <c r="J45" s="137"/>
      <c r="K45" s="137"/>
      <c r="L45" s="137"/>
      <c r="M45" s="130">
        <f t="shared" si="0"/>
        <v>0</v>
      </c>
      <c r="N45" s="90"/>
      <c r="O45" s="116" t="str">
        <f t="shared" si="1"/>
        <v/>
      </c>
      <c r="P45" s="26"/>
      <c r="T45" s="18"/>
      <c r="V45" s="138" t="str">
        <f t="shared" si="2"/>
        <v/>
      </c>
    </row>
    <row r="46" spans="1:44" ht="14.45" customHeight="1" x14ac:dyDescent="0.25">
      <c r="A46" s="28"/>
      <c r="B46" s="54"/>
      <c r="C46" s="67"/>
      <c r="D46" s="2"/>
      <c r="E46" s="33"/>
      <c r="F46" s="137"/>
      <c r="G46" s="137"/>
      <c r="H46" s="137"/>
      <c r="I46" s="137"/>
      <c r="J46" s="137"/>
      <c r="K46" s="137"/>
      <c r="L46" s="142"/>
      <c r="M46" s="130">
        <f t="shared" si="0"/>
        <v>0</v>
      </c>
      <c r="N46" s="90"/>
      <c r="O46" s="116" t="str">
        <f t="shared" si="1"/>
        <v/>
      </c>
      <c r="P46" s="26"/>
      <c r="T46" s="18"/>
      <c r="V46" s="138" t="str">
        <f t="shared" si="2"/>
        <v/>
      </c>
      <c r="AE46" s="103"/>
      <c r="AF46" s="103"/>
      <c r="AG46" s="104"/>
      <c r="AH46" s="103"/>
      <c r="AI46" s="103"/>
      <c r="AJ46" s="103"/>
      <c r="AK46" s="103"/>
      <c r="AL46" s="104"/>
      <c r="AM46" s="103"/>
      <c r="AN46" s="103"/>
      <c r="AO46" s="105"/>
      <c r="AP46" s="106"/>
      <c r="AQ46" s="104"/>
      <c r="AR46" s="103"/>
    </row>
    <row r="47" spans="1:44" ht="14.45" customHeight="1" x14ac:dyDescent="0.25">
      <c r="A47" s="28"/>
      <c r="B47" s="54"/>
      <c r="C47" s="67"/>
      <c r="D47" s="2"/>
      <c r="E47" s="33"/>
      <c r="F47" s="137"/>
      <c r="G47" s="137"/>
      <c r="H47" s="137"/>
      <c r="I47" s="137"/>
      <c r="J47" s="137"/>
      <c r="K47" s="137"/>
      <c r="L47" s="142"/>
      <c r="M47" s="130">
        <f t="shared" si="0"/>
        <v>0</v>
      </c>
      <c r="N47" s="90"/>
      <c r="O47" s="116" t="str">
        <f t="shared" si="1"/>
        <v/>
      </c>
      <c r="P47" s="26"/>
      <c r="T47" s="18"/>
      <c r="V47" s="138" t="str">
        <f t="shared" si="2"/>
        <v/>
      </c>
      <c r="AE47" s="106"/>
      <c r="AF47" s="106"/>
      <c r="AG47" s="104"/>
      <c r="AH47" s="103"/>
      <c r="AI47" s="103"/>
      <c r="AJ47" s="103"/>
      <c r="AK47" s="103"/>
      <c r="AL47" s="104"/>
      <c r="AM47" s="103"/>
      <c r="AN47" s="103"/>
      <c r="AO47" s="103"/>
      <c r="AP47" s="107"/>
      <c r="AQ47" s="104"/>
      <c r="AR47" s="103"/>
    </row>
    <row r="48" spans="1:44" ht="14.45" customHeight="1" x14ac:dyDescent="0.25">
      <c r="A48" s="28"/>
      <c r="B48" s="61"/>
      <c r="C48" s="68"/>
      <c r="D48" s="62"/>
      <c r="E48" s="63"/>
      <c r="F48" s="136"/>
      <c r="G48" s="136"/>
      <c r="H48" s="136"/>
      <c r="I48" s="136"/>
      <c r="J48" s="136"/>
      <c r="K48" s="136"/>
      <c r="L48" s="143"/>
      <c r="M48" s="130">
        <f t="shared" si="0"/>
        <v>0</v>
      </c>
      <c r="N48" s="90"/>
      <c r="O48" s="116" t="str">
        <f t="shared" si="1"/>
        <v/>
      </c>
      <c r="P48" s="26"/>
      <c r="T48" s="18"/>
      <c r="V48" s="138" t="str">
        <f t="shared" si="2"/>
        <v/>
      </c>
      <c r="AE48" s="108"/>
      <c r="AF48" s="103"/>
      <c r="AG48" s="103"/>
      <c r="AH48" s="103"/>
      <c r="AI48" s="103"/>
      <c r="AJ48" s="103"/>
      <c r="AK48" s="103"/>
      <c r="AL48" s="104"/>
      <c r="AM48" s="103"/>
      <c r="AN48" s="103"/>
      <c r="AO48" s="103"/>
      <c r="AP48" s="107"/>
      <c r="AQ48" s="104"/>
      <c r="AR48" s="103"/>
    </row>
    <row r="49" spans="1:44" ht="14.45" customHeight="1" x14ac:dyDescent="0.25">
      <c r="A49" s="28"/>
      <c r="B49" s="54"/>
      <c r="C49" s="67"/>
      <c r="D49" s="2"/>
      <c r="E49" s="33"/>
      <c r="F49" s="137"/>
      <c r="G49" s="137"/>
      <c r="H49" s="137"/>
      <c r="I49" s="137"/>
      <c r="J49" s="137"/>
      <c r="K49" s="137"/>
      <c r="L49" s="137"/>
      <c r="M49" s="130">
        <f t="shared" si="0"/>
        <v>0</v>
      </c>
      <c r="N49" s="90"/>
      <c r="O49" s="116" t="str">
        <f t="shared" si="1"/>
        <v/>
      </c>
      <c r="P49" s="26"/>
      <c r="T49" s="18"/>
      <c r="V49" s="138" t="str">
        <f t="shared" si="2"/>
        <v/>
      </c>
      <c r="AE49" s="103"/>
      <c r="AF49" s="103"/>
      <c r="AG49" s="103"/>
      <c r="AH49" s="103"/>
      <c r="AI49" s="103"/>
      <c r="AJ49" s="103"/>
      <c r="AK49" s="103"/>
      <c r="AL49" s="104"/>
      <c r="AM49" s="103"/>
      <c r="AN49" s="103"/>
      <c r="AO49" s="106"/>
      <c r="AP49" s="106"/>
      <c r="AQ49" s="104"/>
      <c r="AR49" s="103"/>
    </row>
    <row r="50" spans="1:44" ht="14.45" customHeight="1" x14ac:dyDescent="0.25">
      <c r="A50" s="28"/>
      <c r="B50" s="54"/>
      <c r="C50" s="67"/>
      <c r="D50" s="2"/>
      <c r="E50" s="33"/>
      <c r="F50" s="137"/>
      <c r="G50" s="137"/>
      <c r="H50" s="137"/>
      <c r="I50" s="137"/>
      <c r="J50" s="137"/>
      <c r="K50" s="137"/>
      <c r="L50" s="137"/>
      <c r="M50" s="130">
        <f t="shared" si="0"/>
        <v>0</v>
      </c>
      <c r="N50" s="90"/>
      <c r="O50" s="116" t="str">
        <f t="shared" si="1"/>
        <v/>
      </c>
      <c r="P50" s="26"/>
      <c r="T50" s="18"/>
      <c r="V50" s="138" t="str">
        <f t="shared" si="2"/>
        <v/>
      </c>
      <c r="AE50" s="103"/>
      <c r="AF50" s="103"/>
      <c r="AG50" s="103"/>
      <c r="AH50" s="103"/>
      <c r="AI50" s="103"/>
      <c r="AJ50" s="103"/>
      <c r="AK50" s="103"/>
      <c r="AL50" s="104"/>
      <c r="AM50" s="103"/>
      <c r="AN50" s="103"/>
      <c r="AO50" s="105"/>
      <c r="AP50" s="107"/>
      <c r="AQ50" s="103"/>
      <c r="AR50" s="103"/>
    </row>
    <row r="51" spans="1:44" ht="14.45" customHeight="1" x14ac:dyDescent="0.25">
      <c r="A51" s="28"/>
      <c r="B51" s="54"/>
      <c r="C51" s="67"/>
      <c r="D51" s="2"/>
      <c r="E51" s="33"/>
      <c r="F51" s="137"/>
      <c r="G51" s="137"/>
      <c r="H51" s="137"/>
      <c r="I51" s="137"/>
      <c r="J51" s="137"/>
      <c r="K51" s="137"/>
      <c r="L51" s="137"/>
      <c r="M51" s="130">
        <f t="shared" si="0"/>
        <v>0</v>
      </c>
      <c r="N51" s="90"/>
      <c r="O51" s="116" t="str">
        <f t="shared" si="1"/>
        <v/>
      </c>
      <c r="P51" s="26"/>
      <c r="T51" s="18"/>
      <c r="V51" s="138" t="str">
        <f t="shared" si="2"/>
        <v/>
      </c>
      <c r="AE51" s="103"/>
      <c r="AF51" s="103"/>
      <c r="AG51" s="103"/>
      <c r="AH51" s="103"/>
      <c r="AI51" s="103"/>
      <c r="AJ51" s="106"/>
      <c r="AK51" s="106"/>
      <c r="AL51" s="104"/>
      <c r="AM51" s="103"/>
      <c r="AN51" s="103"/>
      <c r="AO51" s="103"/>
      <c r="AP51" s="107"/>
      <c r="AQ51" s="103"/>
      <c r="AR51" s="103"/>
    </row>
    <row r="52" spans="1:44" ht="14.45" customHeight="1" x14ac:dyDescent="0.25">
      <c r="A52" s="28"/>
      <c r="B52" s="54"/>
      <c r="C52" s="67"/>
      <c r="D52" s="2"/>
      <c r="E52" s="33"/>
      <c r="F52" s="137"/>
      <c r="G52" s="137"/>
      <c r="H52" s="137"/>
      <c r="I52" s="137"/>
      <c r="J52" s="137"/>
      <c r="K52" s="137"/>
      <c r="L52" s="137"/>
      <c r="M52" s="130">
        <f t="shared" si="0"/>
        <v>0</v>
      </c>
      <c r="N52" s="90"/>
      <c r="O52" s="116" t="str">
        <f t="shared" si="1"/>
        <v/>
      </c>
      <c r="P52" s="26"/>
      <c r="T52" s="18"/>
      <c r="V52" s="138" t="str">
        <f t="shared" si="2"/>
        <v/>
      </c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7"/>
      <c r="AQ52" s="103"/>
      <c r="AR52" s="103"/>
    </row>
    <row r="53" spans="1:44" ht="14.45" customHeight="1" x14ac:dyDescent="0.25">
      <c r="A53" s="28"/>
      <c r="B53" s="54"/>
      <c r="C53" s="67"/>
      <c r="D53" s="2"/>
      <c r="E53" s="33"/>
      <c r="F53" s="137"/>
      <c r="G53" s="137"/>
      <c r="H53" s="137"/>
      <c r="I53" s="137"/>
      <c r="J53" s="137"/>
      <c r="K53" s="137"/>
      <c r="L53" s="137"/>
      <c r="M53" s="130">
        <f t="shared" si="0"/>
        <v>0</v>
      </c>
      <c r="N53" s="90"/>
      <c r="O53" s="116" t="str">
        <f t="shared" si="1"/>
        <v/>
      </c>
      <c r="P53" s="26"/>
      <c r="T53" s="18"/>
      <c r="V53" s="138" t="str">
        <f t="shared" si="2"/>
        <v/>
      </c>
    </row>
    <row r="54" spans="1:44" ht="14.45" customHeight="1" x14ac:dyDescent="0.25">
      <c r="A54" s="28"/>
      <c r="B54" s="54"/>
      <c r="C54" s="67"/>
      <c r="D54" s="2"/>
      <c r="E54" s="33"/>
      <c r="F54" s="137"/>
      <c r="G54" s="137"/>
      <c r="H54" s="137"/>
      <c r="I54" s="137"/>
      <c r="J54" s="137"/>
      <c r="K54" s="137"/>
      <c r="L54" s="137"/>
      <c r="M54" s="130">
        <f t="shared" si="0"/>
        <v>0</v>
      </c>
      <c r="N54" s="90"/>
      <c r="O54" s="116" t="str">
        <f t="shared" si="1"/>
        <v/>
      </c>
      <c r="P54" s="26"/>
      <c r="T54" s="18"/>
      <c r="V54" s="138" t="str">
        <f t="shared" si="2"/>
        <v/>
      </c>
    </row>
    <row r="55" spans="1:44" ht="14.45" customHeight="1" x14ac:dyDescent="0.25">
      <c r="A55" s="28"/>
      <c r="B55" s="54"/>
      <c r="C55" s="67"/>
      <c r="D55" s="2"/>
      <c r="E55" s="33"/>
      <c r="F55" s="137"/>
      <c r="G55" s="137"/>
      <c r="H55" s="137"/>
      <c r="I55" s="137"/>
      <c r="J55" s="137"/>
      <c r="K55" s="137"/>
      <c r="L55" s="137"/>
      <c r="M55" s="130">
        <f t="shared" si="0"/>
        <v>0</v>
      </c>
      <c r="N55" s="90"/>
      <c r="O55" s="116" t="str">
        <f t="shared" si="1"/>
        <v/>
      </c>
      <c r="P55" s="26"/>
      <c r="T55" s="18"/>
      <c r="V55" s="138" t="str">
        <f t="shared" si="2"/>
        <v/>
      </c>
    </row>
    <row r="56" spans="1:44" ht="14.45" customHeight="1" x14ac:dyDescent="0.25">
      <c r="A56" s="28"/>
      <c r="B56" s="54"/>
      <c r="C56" s="67"/>
      <c r="D56" s="2"/>
      <c r="E56" s="33"/>
      <c r="F56" s="137"/>
      <c r="G56" s="137"/>
      <c r="H56" s="137"/>
      <c r="I56" s="137"/>
      <c r="J56" s="137"/>
      <c r="K56" s="137"/>
      <c r="L56" s="137"/>
      <c r="M56" s="130">
        <f t="shared" si="0"/>
        <v>0</v>
      </c>
      <c r="N56" s="90"/>
      <c r="O56" s="116" t="str">
        <f t="shared" si="1"/>
        <v/>
      </c>
      <c r="P56" s="26"/>
      <c r="T56" s="18"/>
      <c r="V56" s="138" t="str">
        <f t="shared" si="2"/>
        <v/>
      </c>
    </row>
    <row r="57" spans="1:44" ht="14.45" customHeight="1" x14ac:dyDescent="0.25">
      <c r="A57" s="28"/>
      <c r="B57" s="54"/>
      <c r="C57" s="67"/>
      <c r="D57" s="2"/>
      <c r="E57" s="33"/>
      <c r="F57" s="137"/>
      <c r="G57" s="137"/>
      <c r="H57" s="137"/>
      <c r="I57" s="137"/>
      <c r="J57" s="137"/>
      <c r="K57" s="137"/>
      <c r="L57" s="137"/>
      <c r="M57" s="130">
        <f t="shared" si="0"/>
        <v>0</v>
      </c>
      <c r="N57" s="90"/>
      <c r="O57" s="116" t="str">
        <f t="shared" si="1"/>
        <v/>
      </c>
      <c r="P57" s="26"/>
      <c r="T57" s="18"/>
      <c r="V57" s="138" t="str">
        <f t="shared" si="2"/>
        <v/>
      </c>
    </row>
    <row r="58" spans="1:44" ht="14.45" customHeight="1" x14ac:dyDescent="0.25">
      <c r="A58" s="28"/>
      <c r="B58" s="55"/>
      <c r="C58" s="67"/>
      <c r="D58" s="2"/>
      <c r="E58" s="33"/>
      <c r="F58" s="137"/>
      <c r="G58" s="137"/>
      <c r="H58" s="137"/>
      <c r="I58" s="137"/>
      <c r="J58" s="137"/>
      <c r="K58" s="137"/>
      <c r="L58" s="137"/>
      <c r="M58" s="130">
        <f t="shared" si="0"/>
        <v>0</v>
      </c>
      <c r="N58" s="90"/>
      <c r="O58" s="116" t="str">
        <f t="shared" si="1"/>
        <v/>
      </c>
      <c r="P58" s="26"/>
      <c r="T58" s="18"/>
      <c r="V58" s="138" t="str">
        <f t="shared" si="2"/>
        <v/>
      </c>
    </row>
    <row r="59" spans="1:44" ht="14.45" customHeight="1" x14ac:dyDescent="0.25">
      <c r="A59" s="28"/>
      <c r="B59" s="55"/>
      <c r="C59" s="67"/>
      <c r="D59" s="2"/>
      <c r="E59" s="33"/>
      <c r="F59" s="137"/>
      <c r="G59" s="137"/>
      <c r="H59" s="137"/>
      <c r="I59" s="137"/>
      <c r="J59" s="137"/>
      <c r="K59" s="137"/>
      <c r="L59" s="137"/>
      <c r="M59" s="130">
        <f t="shared" si="0"/>
        <v>0</v>
      </c>
      <c r="N59" s="90"/>
      <c r="O59" s="116" t="str">
        <f t="shared" si="1"/>
        <v/>
      </c>
      <c r="P59" s="26"/>
      <c r="T59" s="18"/>
      <c r="V59" s="138" t="str">
        <f t="shared" si="2"/>
        <v/>
      </c>
    </row>
    <row r="60" spans="1:44" ht="14.45" customHeight="1" x14ac:dyDescent="0.25">
      <c r="A60" s="28"/>
      <c r="B60" s="54"/>
      <c r="C60" s="67"/>
      <c r="D60" s="2"/>
      <c r="E60" s="33"/>
      <c r="F60" s="137"/>
      <c r="G60" s="137"/>
      <c r="H60" s="137"/>
      <c r="I60" s="137"/>
      <c r="J60" s="137"/>
      <c r="K60" s="137"/>
      <c r="L60" s="137"/>
      <c r="M60" s="130">
        <f t="shared" si="0"/>
        <v>0</v>
      </c>
      <c r="N60" s="90"/>
      <c r="O60" s="116" t="str">
        <f t="shared" si="1"/>
        <v/>
      </c>
      <c r="P60" s="26"/>
      <c r="T60" s="18"/>
      <c r="V60" s="138" t="str">
        <f t="shared" si="2"/>
        <v/>
      </c>
    </row>
    <row r="61" spans="1:44" ht="14.45" customHeight="1" x14ac:dyDescent="0.25">
      <c r="A61" s="28"/>
      <c r="B61" s="54"/>
      <c r="C61" s="67"/>
      <c r="D61" s="2"/>
      <c r="E61" s="33"/>
      <c r="F61" s="137"/>
      <c r="G61" s="137"/>
      <c r="H61" s="137"/>
      <c r="I61" s="137"/>
      <c r="J61" s="137"/>
      <c r="K61" s="137"/>
      <c r="L61" s="137"/>
      <c r="M61" s="130">
        <f t="shared" si="0"/>
        <v>0</v>
      </c>
      <c r="N61" s="90"/>
      <c r="O61" s="116" t="str">
        <f t="shared" si="1"/>
        <v/>
      </c>
      <c r="P61" s="26"/>
      <c r="T61" s="18"/>
      <c r="V61" s="138" t="str">
        <f t="shared" si="2"/>
        <v/>
      </c>
    </row>
    <row r="62" spans="1:44" ht="14.45" customHeight="1" x14ac:dyDescent="0.25">
      <c r="A62" s="28"/>
      <c r="B62" s="54"/>
      <c r="C62" s="67"/>
      <c r="D62" s="2"/>
      <c r="E62" s="33"/>
      <c r="F62" s="137"/>
      <c r="G62" s="137"/>
      <c r="H62" s="137"/>
      <c r="I62" s="137"/>
      <c r="J62" s="137"/>
      <c r="K62" s="137"/>
      <c r="L62" s="137"/>
      <c r="M62" s="130">
        <f t="shared" si="0"/>
        <v>0</v>
      </c>
      <c r="N62" s="90"/>
      <c r="O62" s="116" t="str">
        <f t="shared" si="1"/>
        <v/>
      </c>
      <c r="P62" s="26"/>
      <c r="T62" s="18"/>
      <c r="V62" s="138" t="str">
        <f t="shared" si="2"/>
        <v/>
      </c>
    </row>
    <row r="63" spans="1:44" ht="14.45" customHeight="1" x14ac:dyDescent="0.25">
      <c r="A63" s="130">
        <f>SUM(M67+10)</f>
        <v>10</v>
      </c>
      <c r="B63" s="3" t="s">
        <v>20</v>
      </c>
      <c r="C63" s="133" t="str">
        <f>IFERROR(SUM(M67/Y1),"")</f>
        <v/>
      </c>
      <c r="D63" s="22" t="s">
        <v>21</v>
      </c>
      <c r="E63" s="130">
        <f>Y1</f>
        <v>0</v>
      </c>
      <c r="J63" s="22"/>
      <c r="K63" s="22"/>
      <c r="L63" s="21"/>
      <c r="M63" s="23"/>
      <c r="N63" s="90"/>
      <c r="O63" s="145"/>
      <c r="P63" s="146"/>
      <c r="T63" s="18"/>
      <c r="V63" s="113" t="str">
        <f t="shared" si="2"/>
        <v/>
      </c>
    </row>
    <row r="64" spans="1:44" ht="14.45" customHeight="1" x14ac:dyDescent="0.25">
      <c r="A64" s="29"/>
      <c r="B64" s="3"/>
      <c r="C64" s="3"/>
      <c r="D64" s="4"/>
      <c r="E64" s="4"/>
      <c r="F64" s="22"/>
      <c r="G64" s="22"/>
      <c r="H64" s="22"/>
      <c r="I64" s="22"/>
      <c r="J64" s="22"/>
      <c r="K64" s="22"/>
      <c r="L64" s="21"/>
      <c r="M64" s="21"/>
      <c r="N64" s="90"/>
      <c r="O64" s="145"/>
      <c r="P64" s="146"/>
      <c r="T64" s="18"/>
      <c r="V64" s="113" t="str">
        <f t="shared" si="2"/>
        <v/>
      </c>
    </row>
    <row r="65" spans="1:22" ht="14.45" customHeight="1" thickBot="1" x14ac:dyDescent="0.3">
      <c r="A65" s="30"/>
      <c r="B65" s="5"/>
      <c r="C65" s="5"/>
      <c r="D65" s="6"/>
      <c r="E65" s="6"/>
      <c r="F65" s="24"/>
      <c r="G65" s="24"/>
      <c r="H65" s="24"/>
      <c r="I65" s="24"/>
      <c r="J65" s="24"/>
      <c r="K65" s="24"/>
      <c r="L65" s="24"/>
      <c r="M65" s="24"/>
      <c r="N65" s="90"/>
      <c r="O65" s="145"/>
      <c r="P65" s="146"/>
    </row>
    <row r="66" spans="1:22" ht="14.45" customHeight="1" thickTop="1" thickBot="1" x14ac:dyDescent="0.3">
      <c r="A66" s="109"/>
      <c r="B66" s="7"/>
      <c r="C66" s="7" t="s">
        <v>5</v>
      </c>
      <c r="D66" s="8"/>
      <c r="E66" s="31"/>
      <c r="F66" s="9"/>
      <c r="G66" s="9"/>
      <c r="H66" s="9"/>
      <c r="I66" s="9"/>
      <c r="J66" s="9"/>
      <c r="K66" s="9"/>
      <c r="M66" s="10"/>
      <c r="N66" s="91"/>
      <c r="O66" s="145"/>
      <c r="P66" s="146"/>
    </row>
    <row r="67" spans="1:22" ht="14.45" customHeight="1" thickTop="1" thickBot="1" x14ac:dyDescent="0.3">
      <c r="A67" s="130">
        <f>IFERROR(A63+A66,"")</f>
        <v>10</v>
      </c>
      <c r="B67" s="11"/>
      <c r="C67" s="11" t="s">
        <v>7</v>
      </c>
      <c r="D67" s="12"/>
      <c r="E67" s="32"/>
      <c r="F67" s="130">
        <f>SUM(F2:F65)</f>
        <v>0</v>
      </c>
      <c r="G67" s="130">
        <f t="shared" ref="G67:L67" si="6">SUM(G2:G65)</f>
        <v>0</v>
      </c>
      <c r="H67" s="130">
        <f t="shared" si="6"/>
        <v>0</v>
      </c>
      <c r="I67" s="130">
        <f t="shared" si="6"/>
        <v>0</v>
      </c>
      <c r="J67" s="130">
        <f t="shared" si="6"/>
        <v>0</v>
      </c>
      <c r="K67" s="130">
        <f t="shared" si="6"/>
        <v>0</v>
      </c>
      <c r="L67" s="130">
        <f t="shared" si="6"/>
        <v>0</v>
      </c>
      <c r="M67" s="129">
        <f>IF(EXACT(SUM(M2:M65),SUM(F67:L67)),SUM(M2:M65),"No Match")</f>
        <v>0</v>
      </c>
      <c r="N67" s="91"/>
      <c r="O67" s="145"/>
      <c r="P67" s="146"/>
    </row>
    <row r="68" spans="1:22" ht="14.45" customHeight="1" thickTop="1" thickBot="1" x14ac:dyDescent="0.3">
      <c r="A68" s="130">
        <f>A67-M67</f>
        <v>10</v>
      </c>
      <c r="B68" s="13"/>
      <c r="C68" s="13" t="s">
        <v>6</v>
      </c>
      <c r="D68" s="14"/>
      <c r="E68" s="13"/>
      <c r="F68" s="15"/>
      <c r="G68" s="15"/>
      <c r="H68" s="15"/>
      <c r="I68" s="15"/>
      <c r="J68" s="15"/>
      <c r="K68" s="15"/>
      <c r="L68" s="15"/>
      <c r="M68" s="16" t="s">
        <v>0</v>
      </c>
      <c r="N68" s="91"/>
      <c r="O68" s="145"/>
      <c r="P68" s="146"/>
    </row>
    <row r="69" spans="1:22" ht="14.45" customHeight="1" thickTop="1" x14ac:dyDescent="0.25">
      <c r="B69" s="11"/>
      <c r="C69" s="11"/>
      <c r="D69" s="11"/>
      <c r="E69" s="11"/>
      <c r="F69" s="11"/>
      <c r="G69" s="17" t="s">
        <v>0</v>
      </c>
      <c r="H69" s="11"/>
      <c r="I69" s="11"/>
      <c r="J69" s="11"/>
      <c r="K69" s="11"/>
      <c r="L69" s="11"/>
      <c r="M69" s="11"/>
      <c r="N69" s="92"/>
      <c r="O69" s="145"/>
      <c r="P69" s="146"/>
    </row>
    <row r="70" spans="1:22" ht="14.45" customHeight="1" x14ac:dyDescent="0.25">
      <c r="B70" s="11"/>
      <c r="C70" s="11"/>
      <c r="D70" s="11" t="s">
        <v>111</v>
      </c>
      <c r="E70" s="11"/>
      <c r="F70" s="11"/>
      <c r="G70" s="17" t="s">
        <v>0</v>
      </c>
      <c r="H70" s="11"/>
      <c r="I70" s="11"/>
      <c r="J70" s="11" t="s">
        <v>8</v>
      </c>
      <c r="K70" s="149" t="s">
        <v>9</v>
      </c>
      <c r="L70" s="149"/>
      <c r="M70" s="149"/>
      <c r="N70" s="93"/>
      <c r="O70" s="145"/>
      <c r="P70" s="146"/>
    </row>
    <row r="71" spans="1:22" ht="14.45" customHeight="1" x14ac:dyDescent="0.25">
      <c r="G71" s="1" t="s">
        <v>0</v>
      </c>
      <c r="O71" s="147"/>
      <c r="P71" s="146"/>
    </row>
    <row r="72" spans="1:22" ht="25.5" customHeight="1" thickBot="1" x14ac:dyDescent="0.3">
      <c r="O72" s="122" t="s">
        <v>108</v>
      </c>
      <c r="P72" s="122" t="s">
        <v>18</v>
      </c>
    </row>
    <row r="73" spans="1:22" ht="14.45" customHeight="1" x14ac:dyDescent="0.25">
      <c r="O73" s="116"/>
      <c r="P73" s="26"/>
    </row>
    <row r="74" spans="1:22" ht="14.45" customHeight="1" x14ac:dyDescent="0.25">
      <c r="O74" s="116"/>
      <c r="P74" s="26"/>
    </row>
    <row r="75" spans="1:22" ht="14.45" customHeight="1" x14ac:dyDescent="0.25">
      <c r="O75" s="116"/>
      <c r="P75" s="26"/>
    </row>
    <row r="76" spans="1:22" ht="14.45" customHeight="1" x14ac:dyDescent="0.25">
      <c r="O76" s="116"/>
      <c r="P76" s="26"/>
    </row>
    <row r="77" spans="1:22" ht="14.45" customHeight="1" x14ac:dyDescent="0.25">
      <c r="O77" s="116"/>
      <c r="P77" s="26"/>
    </row>
    <row r="78" spans="1:22" ht="14.45" customHeight="1" x14ac:dyDescent="0.25">
      <c r="P78" s="26"/>
    </row>
    <row r="79" spans="1:22" ht="14.45" customHeight="1" x14ac:dyDescent="0.25">
      <c r="P79" s="26"/>
      <c r="R79" s="18"/>
      <c r="S79" s="132"/>
      <c r="T79" s="20"/>
      <c r="V79" s="115"/>
    </row>
    <row r="80" spans="1:22" ht="14.45" customHeight="1" x14ac:dyDescent="0.25">
      <c r="P80" s="26"/>
      <c r="S80" s="132"/>
      <c r="T80" s="20"/>
      <c r="V80" s="115"/>
    </row>
    <row r="81" spans="16:29" ht="14.45" customHeight="1" x14ac:dyDescent="0.25">
      <c r="P81" s="26"/>
      <c r="R81" s="18"/>
      <c r="S81" s="132"/>
      <c r="T81" s="20"/>
      <c r="V81" s="115"/>
    </row>
    <row r="82" spans="16:29" ht="14.45" customHeight="1" x14ac:dyDescent="0.25">
      <c r="P82" s="26"/>
      <c r="R82" s="18"/>
      <c r="S82" s="132"/>
      <c r="T82" s="20"/>
      <c r="V82" s="115"/>
    </row>
    <row r="83" spans="16:29" ht="14.45" customHeight="1" x14ac:dyDescent="0.25">
      <c r="P83" s="26"/>
      <c r="R83" s="18"/>
      <c r="S83" s="132"/>
      <c r="T83" s="20"/>
      <c r="V83" s="115"/>
    </row>
    <row r="84" spans="16:29" ht="14.45" customHeight="1" x14ac:dyDescent="0.25">
      <c r="P84" s="26"/>
      <c r="R84" s="18"/>
      <c r="S84" s="132"/>
      <c r="T84" s="20"/>
      <c r="W84" s="19"/>
      <c r="X84" s="19"/>
      <c r="Y84" s="19"/>
      <c r="Z84" s="100"/>
      <c r="AA84" s="19"/>
      <c r="AC84" s="19"/>
    </row>
    <row r="85" spans="16:29" ht="14.45" customHeight="1" x14ac:dyDescent="0.25">
      <c r="P85" s="26"/>
      <c r="R85" s="18"/>
      <c r="S85" s="132"/>
      <c r="T85" s="20"/>
      <c r="V85" s="115"/>
    </row>
    <row r="86" spans="16:29" ht="14.45" customHeight="1" x14ac:dyDescent="0.25">
      <c r="P86" s="26"/>
      <c r="R86" s="18"/>
      <c r="S86" s="132"/>
      <c r="T86" s="20"/>
      <c r="V86" s="115"/>
    </row>
    <row r="87" spans="16:29" ht="14.45" customHeight="1" x14ac:dyDescent="0.25">
      <c r="P87" s="26"/>
      <c r="R87" s="18"/>
      <c r="S87" s="132"/>
      <c r="T87" s="20"/>
      <c r="V87" s="115"/>
    </row>
    <row r="88" spans="16:29" ht="14.45" customHeight="1" x14ac:dyDescent="0.25">
      <c r="P88" s="26"/>
      <c r="R88" s="18"/>
      <c r="S88" s="132"/>
      <c r="T88" s="20"/>
      <c r="V88" s="115"/>
    </row>
    <row r="89" spans="16:29" ht="14.45" customHeight="1" x14ac:dyDescent="0.25">
      <c r="P89" s="26"/>
    </row>
    <row r="90" spans="16:29" ht="14.45" customHeight="1" x14ac:dyDescent="0.25">
      <c r="P90" s="26"/>
    </row>
    <row r="91" spans="16:29" ht="14.45" customHeight="1" x14ac:dyDescent="0.25">
      <c r="P91" s="26"/>
    </row>
    <row r="92" spans="16:29" ht="14.45" customHeight="1" x14ac:dyDescent="0.25">
      <c r="P92" s="26"/>
    </row>
    <row r="93" spans="16:29" ht="14.45" customHeight="1" x14ac:dyDescent="0.25">
      <c r="P93" s="26"/>
    </row>
    <row r="94" spans="16:29" ht="14.45" customHeight="1" x14ac:dyDescent="0.25">
      <c r="P94" s="26"/>
    </row>
    <row r="95" spans="16:29" ht="14.45" customHeight="1" x14ac:dyDescent="0.25">
      <c r="P95" s="26"/>
    </row>
    <row r="96" spans="16:29" ht="14.45" customHeight="1" x14ac:dyDescent="0.25">
      <c r="P96" s="26"/>
    </row>
    <row r="97" spans="16:16" ht="14.45" customHeight="1" x14ac:dyDescent="0.25">
      <c r="P97" s="26"/>
    </row>
    <row r="98" spans="16:16" ht="14.45" customHeight="1" x14ac:dyDescent="0.25">
      <c r="P98" s="26"/>
    </row>
    <row r="99" spans="16:16" ht="14.45" customHeight="1" x14ac:dyDescent="0.25">
      <c r="P99" s="26"/>
    </row>
    <row r="100" spans="16:16" ht="14.45" customHeight="1" x14ac:dyDescent="0.25">
      <c r="P100" s="26"/>
    </row>
    <row r="101" spans="16:16" ht="14.45" customHeight="1" x14ac:dyDescent="0.25">
      <c r="P101" s="26"/>
    </row>
    <row r="102" spans="16:16" ht="14.45" customHeight="1" x14ac:dyDescent="0.25">
      <c r="P102" s="26"/>
    </row>
  </sheetData>
  <mergeCells count="7">
    <mergeCell ref="K70:M70"/>
    <mergeCell ref="AC2:AC8"/>
    <mergeCell ref="AE7:AG7"/>
    <mergeCell ref="AJ7:AQ7"/>
    <mergeCell ref="AJ8:AL8"/>
    <mergeCell ref="AO8:AQ8"/>
    <mergeCell ref="AJ19:AL19"/>
  </mergeCells>
  <conditionalFormatting sqref="O2:O62">
    <cfRule type="cellIs" dxfId="6" priority="2" operator="equal">
      <formula>"Conversion Missing"</formula>
    </cfRule>
  </conditionalFormatting>
  <conditionalFormatting sqref="M67">
    <cfRule type="cellIs" dxfId="5" priority="1" operator="equal">
      <formula>"No Match"</formula>
    </cfRule>
  </conditionalFormatting>
  <dataValidations count="2">
    <dataValidation type="list" allowBlank="1" showInputMessage="1" showErrorMessage="1" sqref="P73:P100 P2:P62" xr:uid="{2D680F80-6ED6-4EB6-8692-0EBDB51F169E}">
      <formula1>US_Category1</formula1>
    </dataValidation>
    <dataValidation type="list" showInputMessage="1" showErrorMessage="1" sqref="P101:P102" xr:uid="{6209E485-CCF6-4E05-BA22-C051DC1DDDB5}">
      <formula1>US_Category</formula1>
    </dataValidation>
  </dataValidations>
  <printOptions gridLines="1"/>
  <pageMargins left="0.75" right="0.75" top="1" bottom="1" header="0.5" footer="0.5"/>
  <pageSetup scale="46" orientation="portrait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R102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4.45" customHeight="1" x14ac:dyDescent="0.25"/>
  <cols>
    <col min="1" max="1" width="13.85546875" customWidth="1"/>
    <col min="2" max="2" width="11.5703125" customWidth="1"/>
    <col min="3" max="3" width="11.7109375" customWidth="1"/>
    <col min="4" max="4" width="30.28515625" customWidth="1"/>
    <col min="5" max="5" width="9.140625" customWidth="1"/>
    <col min="6" max="6" width="10.85546875" customWidth="1"/>
    <col min="7" max="7" width="13.5703125" customWidth="1"/>
    <col min="8" max="8" width="12.85546875" customWidth="1"/>
    <col min="9" max="9" width="15.140625" customWidth="1"/>
    <col min="10" max="10" width="11.42578125" customWidth="1"/>
    <col min="11" max="11" width="13.42578125" customWidth="1"/>
    <col min="12" max="12" width="15" customWidth="1"/>
    <col min="13" max="13" width="16.7109375" customWidth="1"/>
    <col min="14" max="14" width="1.28515625" style="94" customWidth="1"/>
    <col min="15" max="15" width="18.5703125" style="114" customWidth="1"/>
    <col min="16" max="16" width="29.140625" bestFit="1" customWidth="1"/>
    <col min="17" max="17" width="1.7109375" style="94" customWidth="1"/>
    <col min="18" max="18" width="11.42578125" customWidth="1"/>
    <col min="19" max="19" width="12.140625" style="128" bestFit="1" customWidth="1"/>
    <col min="20" max="20" width="11" customWidth="1"/>
    <col min="21" max="21" width="9.140625" style="102"/>
    <col min="22" max="22" width="16" bestFit="1" customWidth="1"/>
    <col min="23" max="23" width="10.7109375" hidden="1" customWidth="1"/>
    <col min="24" max="24" width="14.7109375" hidden="1" customWidth="1"/>
    <col min="25" max="25" width="21.5703125" customWidth="1"/>
    <col min="26" max="26" width="2" style="94" customWidth="1"/>
    <col min="27" max="27" width="29.140625" bestFit="1" customWidth="1"/>
    <col min="28" max="28" width="19.5703125" style="101" bestFit="1" customWidth="1"/>
    <col min="29" max="29" width="14.140625" customWidth="1"/>
    <col min="30" max="30" width="2" style="94" customWidth="1"/>
    <col min="31" max="31" width="23.7109375" customWidth="1"/>
    <col min="32" max="32" width="2" customWidth="1"/>
    <col min="33" max="33" width="10.7109375" customWidth="1"/>
    <col min="34" max="35" width="1" customWidth="1"/>
    <col min="36" max="36" width="26.140625" customWidth="1"/>
    <col min="37" max="37" width="2" customWidth="1"/>
    <col min="38" max="38" width="10.7109375" customWidth="1"/>
    <col min="39" max="40" width="1" customWidth="1"/>
    <col min="41" max="41" width="29.7109375" customWidth="1"/>
    <col min="42" max="42" width="2" customWidth="1"/>
    <col min="43" max="43" width="10.7109375" customWidth="1"/>
  </cols>
  <sheetData>
    <row r="1" spans="1:43" s="83" customFormat="1" ht="58.9" customHeight="1" thickTop="1" thickBot="1" x14ac:dyDescent="0.3">
      <c r="A1" s="76" t="s">
        <v>2</v>
      </c>
      <c r="B1" s="77" t="s">
        <v>79</v>
      </c>
      <c r="C1" s="77" t="s">
        <v>1</v>
      </c>
      <c r="D1" s="77" t="s">
        <v>3</v>
      </c>
      <c r="E1" s="77"/>
      <c r="F1" s="77" t="s">
        <v>4</v>
      </c>
      <c r="G1" s="77" t="s">
        <v>80</v>
      </c>
      <c r="H1" s="77" t="s">
        <v>81</v>
      </c>
      <c r="I1" s="78" t="s">
        <v>82</v>
      </c>
      <c r="J1" s="77" t="s">
        <v>83</v>
      </c>
      <c r="K1" s="79" t="s">
        <v>84</v>
      </c>
      <c r="L1" s="80" t="s">
        <v>85</v>
      </c>
      <c r="M1" s="81" t="s">
        <v>86</v>
      </c>
      <c r="N1" s="87"/>
      <c r="O1" s="122" t="s">
        <v>87</v>
      </c>
      <c r="P1" s="122" t="s">
        <v>18</v>
      </c>
      <c r="Q1" s="95"/>
      <c r="R1" s="122" t="s">
        <v>92</v>
      </c>
      <c r="S1" s="131" t="s">
        <v>93</v>
      </c>
      <c r="T1" s="123" t="s">
        <v>104</v>
      </c>
      <c r="U1" s="124" t="s">
        <v>94</v>
      </c>
      <c r="V1" s="123" t="s">
        <v>95</v>
      </c>
      <c r="W1" s="96">
        <f>SUM(V:V)</f>
        <v>26.290112226785809</v>
      </c>
      <c r="X1" s="97" cm="1">
        <f t="array" ref="X1">(MAX((V2:V1015&lt;&gt;"")*(ROW(V2:V1015))))-1</f>
        <v>5</v>
      </c>
      <c r="Y1" s="121">
        <f>W1/X1</f>
        <v>5.2580224453571613</v>
      </c>
      <c r="Z1" s="98"/>
      <c r="AA1" s="85" t="s">
        <v>102</v>
      </c>
      <c r="AB1" s="102" t="s">
        <v>90</v>
      </c>
      <c r="AC1" s="119"/>
      <c r="AD1" s="118"/>
      <c r="AF1" s="84"/>
      <c r="AP1" s="82"/>
    </row>
    <row r="2" spans="1:43" ht="14.45" customHeight="1" thickTop="1" x14ac:dyDescent="0.25">
      <c r="A2" s="28"/>
      <c r="B2" s="72">
        <v>197409263</v>
      </c>
      <c r="C2" s="66">
        <v>44378</v>
      </c>
      <c r="D2" s="56" t="s">
        <v>10</v>
      </c>
      <c r="E2" s="139"/>
      <c r="F2" s="139"/>
      <c r="G2" s="139"/>
      <c r="H2" s="139"/>
      <c r="I2" s="139">
        <v>159.53</v>
      </c>
      <c r="J2" s="139"/>
      <c r="K2" s="139"/>
      <c r="L2" s="139"/>
      <c r="M2" s="130">
        <f>SUM(F2:L2)</f>
        <v>159.53</v>
      </c>
      <c r="N2" s="88"/>
      <c r="O2" s="116">
        <f>IFERROR(SUM(M2)/$Y$1,"")</f>
        <v>30.340304108223261</v>
      </c>
      <c r="P2" s="26" t="s">
        <v>49</v>
      </c>
      <c r="R2" s="82" t="s">
        <v>19</v>
      </c>
      <c r="S2" s="134">
        <v>2500</v>
      </c>
      <c r="T2" s="125">
        <v>44338</v>
      </c>
      <c r="U2" s="120">
        <v>474.33</v>
      </c>
      <c r="V2" s="113">
        <f>IFERROR(S2/U2,"")</f>
        <v>5.2705922037400121</v>
      </c>
      <c r="W2" s="83"/>
      <c r="AA2" s="86" t="s">
        <v>38</v>
      </c>
      <c r="AB2" s="102">
        <v>839.41087520001554</v>
      </c>
      <c r="AC2" s="150" t="s">
        <v>103</v>
      </c>
      <c r="AF2" s="35" t="s">
        <v>96</v>
      </c>
      <c r="AL2" s="35" t="s">
        <v>97</v>
      </c>
      <c r="AM2" s="35"/>
      <c r="AN2" s="35"/>
      <c r="AO2" s="35"/>
      <c r="AP2" s="26"/>
    </row>
    <row r="3" spans="1:43" ht="14.45" customHeight="1" x14ac:dyDescent="0.25">
      <c r="A3" s="28"/>
      <c r="B3" s="72">
        <v>5666320135</v>
      </c>
      <c r="C3" s="66">
        <v>44378</v>
      </c>
      <c r="D3" s="56" t="s">
        <v>11</v>
      </c>
      <c r="E3" s="139"/>
      <c r="F3" s="139"/>
      <c r="G3" s="139"/>
      <c r="H3" s="139"/>
      <c r="I3" s="139">
        <v>1580.19</v>
      </c>
      <c r="J3" s="139"/>
      <c r="K3" s="139"/>
      <c r="L3" s="139"/>
      <c r="M3" s="130">
        <f t="shared" ref="M3:M62" si="0">SUM(F3:L3)</f>
        <v>1580.19</v>
      </c>
      <c r="N3" s="88"/>
      <c r="O3" s="116">
        <f t="shared" ref="O3:O62" si="1">IFERROR(SUM(M3)/$Y$1,"")</f>
        <v>300.52933710758674</v>
      </c>
      <c r="P3" s="26" t="s">
        <v>38</v>
      </c>
      <c r="S3" s="134">
        <v>2500</v>
      </c>
      <c r="T3" s="18">
        <v>44338</v>
      </c>
      <c r="U3" s="120">
        <v>474.33</v>
      </c>
      <c r="V3" s="113">
        <f t="shared" ref="V3:V64" si="2">IFERROR(S3/U3,"")</f>
        <v>5.2705922037400121</v>
      </c>
      <c r="AA3" s="86" t="s">
        <v>91</v>
      </c>
      <c r="AB3" s="102">
        <v>22.822268494871128</v>
      </c>
      <c r="AC3" s="151"/>
      <c r="AL3" s="35"/>
      <c r="AM3" s="35"/>
      <c r="AN3" s="35"/>
      <c r="AO3" s="35"/>
      <c r="AP3" s="26"/>
    </row>
    <row r="4" spans="1:43" ht="14.45" customHeight="1" x14ac:dyDescent="0.25">
      <c r="A4" s="28"/>
      <c r="B4" s="72" t="s">
        <v>12</v>
      </c>
      <c r="C4" s="66">
        <v>44385</v>
      </c>
      <c r="D4" s="56" t="s">
        <v>13</v>
      </c>
      <c r="E4" s="139"/>
      <c r="F4" s="139"/>
      <c r="G4" s="139"/>
      <c r="H4" s="139"/>
      <c r="I4" s="139">
        <v>512.91999999999996</v>
      </c>
      <c r="J4" s="139"/>
      <c r="K4" s="139"/>
      <c r="L4" s="139"/>
      <c r="M4" s="130">
        <f t="shared" si="0"/>
        <v>512.91999999999996</v>
      </c>
      <c r="N4" s="88"/>
      <c r="O4" s="116">
        <f t="shared" si="1"/>
        <v>97.549982969910829</v>
      </c>
      <c r="P4" s="26" t="s">
        <v>51</v>
      </c>
      <c r="S4" s="134">
        <v>2500</v>
      </c>
      <c r="T4" s="18">
        <v>44342</v>
      </c>
      <c r="U4" s="120">
        <v>472.18</v>
      </c>
      <c r="V4" s="113">
        <f t="shared" si="2"/>
        <v>5.2945910457876231</v>
      </c>
      <c r="AA4" s="86" t="s">
        <v>66</v>
      </c>
      <c r="AB4" s="102">
        <v>35.108256367943426</v>
      </c>
      <c r="AC4" s="151"/>
      <c r="AF4" s="35" t="s">
        <v>98</v>
      </c>
      <c r="AL4" s="35" t="s">
        <v>99</v>
      </c>
      <c r="AM4" s="35"/>
      <c r="AN4" s="35"/>
      <c r="AO4" s="117" t="str" cm="1">
        <f t="array" aca="1" ref="AO4" ca="1">MID(CELL("filename",A1),FIND("]",CELL("filename",A1))+1,255)</f>
        <v>July 2021</v>
      </c>
      <c r="AP4" s="26"/>
    </row>
    <row r="5" spans="1:43" ht="14.45" customHeight="1" thickBot="1" x14ac:dyDescent="0.3">
      <c r="A5" s="28"/>
      <c r="B5" s="72">
        <v>893721</v>
      </c>
      <c r="C5" s="66">
        <v>44387</v>
      </c>
      <c r="D5" s="56" t="s">
        <v>14</v>
      </c>
      <c r="E5" s="139"/>
      <c r="F5" s="139"/>
      <c r="G5" s="139"/>
      <c r="H5" s="139"/>
      <c r="I5" s="139">
        <v>204.44</v>
      </c>
      <c r="J5" s="139"/>
      <c r="K5" s="139"/>
      <c r="L5" s="139"/>
      <c r="M5" s="130">
        <f t="shared" si="0"/>
        <v>204.44</v>
      </c>
      <c r="N5" s="88"/>
      <c r="O5" s="116">
        <f t="shared" si="1"/>
        <v>38.881538092428784</v>
      </c>
      <c r="P5" s="26" t="s">
        <v>38</v>
      </c>
      <c r="S5" s="134">
        <v>2500</v>
      </c>
      <c r="T5" s="18">
        <v>44342</v>
      </c>
      <c r="U5" s="120">
        <v>472.18</v>
      </c>
      <c r="V5" s="113">
        <f t="shared" si="2"/>
        <v>5.2945910457876231</v>
      </c>
      <c r="W5" s="25"/>
      <c r="X5" s="25"/>
      <c r="AA5" s="86" t="s">
        <v>51</v>
      </c>
      <c r="AB5" s="102">
        <v>139.38129926530169</v>
      </c>
      <c r="AC5" s="151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7"/>
      <c r="AQ5" s="36"/>
    </row>
    <row r="6" spans="1:43" ht="14.45" customHeight="1" x14ac:dyDescent="0.25">
      <c r="A6" s="28"/>
      <c r="B6" s="72" t="s">
        <v>12</v>
      </c>
      <c r="C6" s="66">
        <v>44387</v>
      </c>
      <c r="D6" s="56" t="s">
        <v>13</v>
      </c>
      <c r="E6" s="139"/>
      <c r="F6" s="139"/>
      <c r="G6" s="139"/>
      <c r="H6" s="139"/>
      <c r="I6" s="139">
        <v>219.95</v>
      </c>
      <c r="J6" s="139"/>
      <c r="K6" s="139"/>
      <c r="L6" s="139"/>
      <c r="M6" s="130">
        <f t="shared" si="0"/>
        <v>219.95</v>
      </c>
      <c r="N6" s="88"/>
      <c r="O6" s="116">
        <f t="shared" si="1"/>
        <v>41.83131629539087</v>
      </c>
      <c r="P6" s="26" t="s">
        <v>51</v>
      </c>
      <c r="S6" s="134">
        <v>2500</v>
      </c>
      <c r="T6" s="18">
        <v>44386</v>
      </c>
      <c r="U6" s="120">
        <v>484.52</v>
      </c>
      <c r="V6" s="113">
        <f t="shared" si="2"/>
        <v>5.1597457277305372</v>
      </c>
      <c r="AA6" s="86" t="s">
        <v>49</v>
      </c>
      <c r="AB6" s="102">
        <v>140.27707330372539</v>
      </c>
      <c r="AC6" s="151"/>
      <c r="AI6" s="38"/>
      <c r="AP6" s="26"/>
    </row>
    <row r="7" spans="1:43" ht="14.45" customHeight="1" x14ac:dyDescent="0.25">
      <c r="A7" s="28"/>
      <c r="B7" s="72">
        <v>99028</v>
      </c>
      <c r="C7" s="66">
        <v>44389</v>
      </c>
      <c r="D7" s="56" t="s">
        <v>15</v>
      </c>
      <c r="E7" s="139"/>
      <c r="F7" s="139"/>
      <c r="G7" s="139"/>
      <c r="H7" s="139">
        <v>120</v>
      </c>
      <c r="I7" s="139"/>
      <c r="J7" s="139"/>
      <c r="K7" s="139"/>
      <c r="L7" s="139"/>
      <c r="M7" s="130">
        <f t="shared" si="0"/>
        <v>120</v>
      </c>
      <c r="N7" s="88"/>
      <c r="O7" s="116">
        <f t="shared" si="1"/>
        <v>22.822268494871128</v>
      </c>
      <c r="P7" s="26" t="s">
        <v>91</v>
      </c>
      <c r="S7" s="134"/>
      <c r="T7" s="18"/>
      <c r="U7" s="120"/>
      <c r="V7" s="113" t="str">
        <f t="shared" si="2"/>
        <v/>
      </c>
      <c r="AA7" s="86" t="s">
        <v>45</v>
      </c>
      <c r="AB7" s="102">
        <v>700</v>
      </c>
      <c r="AC7" s="151"/>
      <c r="AE7" s="153" t="s">
        <v>22</v>
      </c>
      <c r="AF7" s="153"/>
      <c r="AG7" s="153"/>
      <c r="AH7" s="39"/>
      <c r="AI7" s="40"/>
      <c r="AJ7" s="153" t="s">
        <v>23</v>
      </c>
      <c r="AK7" s="153"/>
      <c r="AL7" s="153"/>
      <c r="AM7" s="153"/>
      <c r="AN7" s="153"/>
      <c r="AO7" s="153"/>
      <c r="AP7" s="153"/>
      <c r="AQ7" s="153"/>
    </row>
    <row r="8" spans="1:43" ht="14.45" customHeight="1" x14ac:dyDescent="0.25">
      <c r="A8" s="28"/>
      <c r="B8" s="72" t="s">
        <v>12</v>
      </c>
      <c r="C8" s="66">
        <v>44389</v>
      </c>
      <c r="D8" s="56" t="s">
        <v>16</v>
      </c>
      <c r="E8" s="139"/>
      <c r="F8" s="139"/>
      <c r="G8" s="139"/>
      <c r="H8" s="139"/>
      <c r="I8" s="139">
        <v>54.6</v>
      </c>
      <c r="J8" s="139"/>
      <c r="K8" s="139"/>
      <c r="L8" s="139"/>
      <c r="M8" s="130">
        <f t="shared" si="0"/>
        <v>54.6</v>
      </c>
      <c r="N8" s="88"/>
      <c r="O8" s="116">
        <f t="shared" si="1"/>
        <v>10.384132165166365</v>
      </c>
      <c r="P8" s="26" t="s">
        <v>66</v>
      </c>
      <c r="S8" s="134"/>
      <c r="T8" s="18"/>
      <c r="U8" s="120"/>
      <c r="V8" s="113" t="str">
        <f t="shared" si="2"/>
        <v/>
      </c>
      <c r="AA8" s="86" t="s">
        <v>56</v>
      </c>
      <c r="AB8" s="102">
        <v>1.9018557079059275</v>
      </c>
      <c r="AC8" s="152"/>
      <c r="AI8" s="41"/>
      <c r="AJ8" s="153" t="s">
        <v>24</v>
      </c>
      <c r="AK8" s="153"/>
      <c r="AL8" s="153"/>
      <c r="AM8" s="39"/>
      <c r="AN8" s="40"/>
      <c r="AO8" s="153" t="s">
        <v>25</v>
      </c>
      <c r="AP8" s="153"/>
      <c r="AQ8" s="153"/>
    </row>
    <row r="9" spans="1:43" ht="14.45" customHeight="1" x14ac:dyDescent="0.25">
      <c r="A9" s="28"/>
      <c r="B9" s="72" t="s">
        <v>12</v>
      </c>
      <c r="C9" s="66">
        <v>44389</v>
      </c>
      <c r="D9" s="56" t="s">
        <v>17</v>
      </c>
      <c r="E9" s="139"/>
      <c r="F9" s="139"/>
      <c r="G9" s="139"/>
      <c r="H9" s="139"/>
      <c r="I9" s="139">
        <v>298.22000000000003</v>
      </c>
      <c r="J9" s="139"/>
      <c r="K9" s="139"/>
      <c r="L9" s="139"/>
      <c r="M9" s="130">
        <f t="shared" si="0"/>
        <v>298.22000000000003</v>
      </c>
      <c r="N9" s="88"/>
      <c r="O9" s="116">
        <f t="shared" si="1"/>
        <v>56.717140921170575</v>
      </c>
      <c r="P9" s="26" t="s">
        <v>49</v>
      </c>
      <c r="S9" s="134"/>
      <c r="T9" s="18"/>
      <c r="U9" s="120"/>
      <c r="V9" s="113" t="str">
        <f t="shared" si="2"/>
        <v/>
      </c>
      <c r="AA9" s="86" t="s">
        <v>89</v>
      </c>
      <c r="AB9" s="102">
        <v>1878.901628339763</v>
      </c>
      <c r="AE9" t="s">
        <v>26</v>
      </c>
      <c r="AF9" s="35" t="s">
        <v>27</v>
      </c>
      <c r="AG9" s="110"/>
      <c r="AH9" s="26"/>
      <c r="AI9" s="42"/>
      <c r="AN9" s="41"/>
      <c r="AP9" s="26"/>
    </row>
    <row r="10" spans="1:43" ht="14.45" customHeight="1" x14ac:dyDescent="0.25">
      <c r="A10" s="28"/>
      <c r="B10" s="72" t="s">
        <v>12</v>
      </c>
      <c r="C10" s="66">
        <v>44389</v>
      </c>
      <c r="D10" s="56" t="s">
        <v>16</v>
      </c>
      <c r="E10" s="139"/>
      <c r="F10" s="139"/>
      <c r="G10" s="139"/>
      <c r="H10" s="139"/>
      <c r="I10" s="139">
        <v>19.97</v>
      </c>
      <c r="J10" s="139"/>
      <c r="K10" s="139"/>
      <c r="L10" s="139"/>
      <c r="M10" s="130">
        <f t="shared" si="0"/>
        <v>19.97</v>
      </c>
      <c r="N10" s="88"/>
      <c r="O10" s="116">
        <f t="shared" si="1"/>
        <v>3.798005848688137</v>
      </c>
      <c r="P10" s="26" t="s">
        <v>49</v>
      </c>
      <c r="S10" s="134"/>
      <c r="T10" s="18"/>
      <c r="U10" s="120"/>
      <c r="V10" s="113" t="str">
        <f t="shared" si="2"/>
        <v/>
      </c>
      <c r="AB10"/>
      <c r="AE10" t="s">
        <v>28</v>
      </c>
      <c r="AF10" s="35" t="s">
        <v>27</v>
      </c>
      <c r="AG10" s="110"/>
      <c r="AI10" s="41"/>
      <c r="AJ10" t="s">
        <v>29</v>
      </c>
      <c r="AK10" s="35" t="s">
        <v>27</v>
      </c>
      <c r="AL10" s="112">
        <f t="shared" ref="AL10:AL13" si="3">IFERROR(VLOOKUP(AJ10,$AA$2:$AB$115,2,FALSE),0)</f>
        <v>0</v>
      </c>
      <c r="AN10" s="41"/>
      <c r="AO10" t="s">
        <v>30</v>
      </c>
      <c r="AP10" s="26"/>
      <c r="AQ10" s="112">
        <f t="shared" ref="AQ10:AQ27" si="4">IFERROR(VLOOKUP(AO10,$AA$2:$AB$115,2,FALSE),0)</f>
        <v>0</v>
      </c>
    </row>
    <row r="11" spans="1:43" ht="14.45" customHeight="1" x14ac:dyDescent="0.25">
      <c r="A11" s="28"/>
      <c r="B11" s="72" t="s">
        <v>12</v>
      </c>
      <c r="C11" s="66">
        <v>44389</v>
      </c>
      <c r="D11" s="56" t="s">
        <v>17</v>
      </c>
      <c r="E11" s="139"/>
      <c r="F11" s="139"/>
      <c r="G11" s="139"/>
      <c r="H11" s="139"/>
      <c r="I11" s="139">
        <v>259.86</v>
      </c>
      <c r="J11" s="139"/>
      <c r="K11" s="139"/>
      <c r="L11" s="139"/>
      <c r="M11" s="130">
        <f t="shared" si="0"/>
        <v>259.86</v>
      </c>
      <c r="N11" s="88"/>
      <c r="O11" s="116">
        <f t="shared" si="1"/>
        <v>49.421622425643434</v>
      </c>
      <c r="P11" s="26" t="s">
        <v>49</v>
      </c>
      <c r="S11" s="134"/>
      <c r="T11" s="18"/>
      <c r="U11" s="120"/>
      <c r="V11" s="113" t="str">
        <f t="shared" si="2"/>
        <v/>
      </c>
      <c r="AB11"/>
      <c r="AD11" s="98"/>
      <c r="AI11" s="41"/>
      <c r="AJ11" t="s">
        <v>31</v>
      </c>
      <c r="AK11" s="35" t="s">
        <v>27</v>
      </c>
      <c r="AL11" s="112">
        <f t="shared" si="3"/>
        <v>0</v>
      </c>
      <c r="AN11" s="41"/>
      <c r="AO11" t="s">
        <v>32</v>
      </c>
      <c r="AP11" s="26"/>
      <c r="AQ11" s="112">
        <f t="shared" si="4"/>
        <v>0</v>
      </c>
    </row>
    <row r="12" spans="1:43" ht="14.45" customHeight="1" x14ac:dyDescent="0.25">
      <c r="A12" s="28"/>
      <c r="B12" s="72" t="s">
        <v>77</v>
      </c>
      <c r="C12" s="66">
        <v>44390</v>
      </c>
      <c r="D12" s="69" t="s">
        <v>78</v>
      </c>
      <c r="E12" s="139"/>
      <c r="F12" s="139"/>
      <c r="G12" s="139"/>
      <c r="H12" s="139">
        <v>130</v>
      </c>
      <c r="I12" s="139"/>
      <c r="J12" s="139"/>
      <c r="K12" s="139"/>
      <c r="L12" s="139"/>
      <c r="M12" s="130">
        <f t="shared" si="0"/>
        <v>130</v>
      </c>
      <c r="N12" s="88"/>
      <c r="O12" s="116">
        <f t="shared" si="1"/>
        <v>24.724124202777059</v>
      </c>
      <c r="P12" s="26" t="s">
        <v>66</v>
      </c>
      <c r="R12" s="26"/>
      <c r="S12" s="134"/>
      <c r="T12" s="18"/>
      <c r="U12" s="120"/>
      <c r="V12" s="113" t="str">
        <f t="shared" si="2"/>
        <v/>
      </c>
      <c r="W12" s="27"/>
      <c r="AB12"/>
      <c r="AD12" s="98"/>
      <c r="AE12" s="35" t="s">
        <v>33</v>
      </c>
      <c r="AI12" s="41"/>
      <c r="AJ12" t="s">
        <v>34</v>
      </c>
      <c r="AK12" s="35" t="s">
        <v>27</v>
      </c>
      <c r="AL12" s="112">
        <f t="shared" si="3"/>
        <v>0</v>
      </c>
      <c r="AN12" s="41"/>
      <c r="AO12" t="s">
        <v>35</v>
      </c>
      <c r="AP12" s="26"/>
      <c r="AQ12" s="112">
        <f t="shared" si="4"/>
        <v>0</v>
      </c>
    </row>
    <row r="13" spans="1:43" ht="14.45" customHeight="1" x14ac:dyDescent="0.25">
      <c r="A13" s="28"/>
      <c r="B13" s="72">
        <v>132333294</v>
      </c>
      <c r="C13" s="127" t="s">
        <v>105</v>
      </c>
      <c r="D13" s="56" t="s">
        <v>106</v>
      </c>
      <c r="E13" s="139"/>
      <c r="F13" s="139"/>
      <c r="G13" s="139"/>
      <c r="H13" s="139"/>
      <c r="I13" s="139">
        <v>10</v>
      </c>
      <c r="J13" s="139"/>
      <c r="K13" s="139"/>
      <c r="L13" s="139"/>
      <c r="M13" s="130">
        <f t="shared" si="0"/>
        <v>10</v>
      </c>
      <c r="N13" s="89"/>
      <c r="O13" s="116">
        <f t="shared" si="1"/>
        <v>1.9018557079059275</v>
      </c>
      <c r="P13" s="26" t="s">
        <v>56</v>
      </c>
      <c r="S13" s="134"/>
      <c r="T13" s="18"/>
      <c r="U13" s="120"/>
      <c r="V13" s="113" t="str">
        <f t="shared" si="2"/>
        <v/>
      </c>
      <c r="W13" s="27"/>
      <c r="AB13"/>
      <c r="AD13" s="98"/>
      <c r="AE13" s="45" t="s">
        <v>36</v>
      </c>
      <c r="AI13" s="41"/>
      <c r="AJ13" s="26" t="s">
        <v>88</v>
      </c>
      <c r="AK13" s="35"/>
      <c r="AL13" s="112">
        <f t="shared" si="3"/>
        <v>0</v>
      </c>
      <c r="AN13" s="41"/>
      <c r="AO13" t="s">
        <v>37</v>
      </c>
      <c r="AP13" s="26"/>
      <c r="AQ13" s="112">
        <f t="shared" si="4"/>
        <v>0</v>
      </c>
    </row>
    <row r="14" spans="1:43" ht="14.45" customHeight="1" x14ac:dyDescent="0.25">
      <c r="A14" s="28"/>
      <c r="B14" s="72"/>
      <c r="C14" s="66"/>
      <c r="D14" s="59"/>
      <c r="E14" s="139"/>
      <c r="F14" s="139"/>
      <c r="G14" s="139"/>
      <c r="H14" s="139"/>
      <c r="I14" s="139"/>
      <c r="J14" s="139"/>
      <c r="K14" s="139"/>
      <c r="L14" s="139"/>
      <c r="M14" s="130">
        <f t="shared" si="0"/>
        <v>0</v>
      </c>
      <c r="N14" s="88"/>
      <c r="O14" s="116">
        <f t="shared" si="1"/>
        <v>0</v>
      </c>
      <c r="P14" s="26"/>
      <c r="S14" s="134"/>
      <c r="T14" s="18"/>
      <c r="U14" s="120"/>
      <c r="V14" s="113" t="str">
        <f t="shared" si="2"/>
        <v/>
      </c>
      <c r="W14" s="27"/>
      <c r="AB14"/>
      <c r="AD14" s="98"/>
      <c r="AI14" s="41"/>
      <c r="AJ14" s="46"/>
      <c r="AK14" s="46"/>
      <c r="AL14" s="46"/>
      <c r="AN14" s="41"/>
      <c r="AO14" t="s">
        <v>38</v>
      </c>
      <c r="AP14" s="26"/>
      <c r="AQ14" s="112">
        <f t="shared" si="4"/>
        <v>839.41087520001554</v>
      </c>
    </row>
    <row r="15" spans="1:43" ht="14.45" customHeight="1" thickBot="1" x14ac:dyDescent="0.3">
      <c r="A15" s="28"/>
      <c r="B15" s="72"/>
      <c r="C15" s="66"/>
      <c r="D15" s="59"/>
      <c r="E15" s="139"/>
      <c r="F15" s="139"/>
      <c r="G15" s="139"/>
      <c r="H15" s="139"/>
      <c r="I15" s="139"/>
      <c r="J15" s="139"/>
      <c r="K15" s="139"/>
      <c r="L15" s="139"/>
      <c r="M15" s="130">
        <f t="shared" si="0"/>
        <v>0</v>
      </c>
      <c r="N15" s="88"/>
      <c r="O15" s="116">
        <f t="shared" si="1"/>
        <v>0</v>
      </c>
      <c r="P15" s="26"/>
      <c r="S15" s="134"/>
      <c r="T15" s="18"/>
      <c r="U15" s="120"/>
      <c r="V15" s="113" t="str">
        <f t="shared" si="2"/>
        <v/>
      </c>
      <c r="W15" s="27"/>
      <c r="AB15"/>
      <c r="AD15" s="98"/>
      <c r="AE15" s="46"/>
      <c r="AG15" s="44"/>
      <c r="AI15" s="41"/>
      <c r="AN15" s="41"/>
      <c r="AO15" t="s">
        <v>39</v>
      </c>
      <c r="AP15" s="26"/>
      <c r="AQ15" s="112">
        <f t="shared" si="4"/>
        <v>0</v>
      </c>
    </row>
    <row r="16" spans="1:43" ht="14.45" customHeight="1" thickTop="1" thickBot="1" x14ac:dyDescent="0.3">
      <c r="A16" s="28"/>
      <c r="B16" s="72"/>
      <c r="C16" s="67"/>
      <c r="D16" s="2"/>
      <c r="E16" s="139"/>
      <c r="F16" s="139"/>
      <c r="G16" s="139"/>
      <c r="H16" s="139"/>
      <c r="I16" s="139"/>
      <c r="J16" s="139"/>
      <c r="K16" s="139"/>
      <c r="L16" s="139"/>
      <c r="M16" s="130">
        <f t="shared" si="0"/>
        <v>0</v>
      </c>
      <c r="N16" s="90"/>
      <c r="O16" s="116">
        <f t="shared" si="1"/>
        <v>0</v>
      </c>
      <c r="P16" s="26"/>
      <c r="S16" s="134"/>
      <c r="T16" s="18"/>
      <c r="U16" s="120"/>
      <c r="V16" s="113" t="str">
        <f t="shared" si="2"/>
        <v/>
      </c>
      <c r="W16" s="27"/>
      <c r="AB16"/>
      <c r="AD16" s="98"/>
      <c r="AE16" s="47"/>
      <c r="AG16" s="43"/>
      <c r="AI16" s="41"/>
      <c r="AJ16" s="35" t="s">
        <v>40</v>
      </c>
      <c r="AK16" s="35" t="s">
        <v>27</v>
      </c>
      <c r="AL16" s="111">
        <f>SUM(AL10:AL15)</f>
        <v>0</v>
      </c>
      <c r="AN16" s="41"/>
      <c r="AO16" s="45" t="s">
        <v>41</v>
      </c>
      <c r="AP16" s="26"/>
      <c r="AQ16" s="112">
        <f t="shared" si="4"/>
        <v>0</v>
      </c>
    </row>
    <row r="17" spans="1:43" ht="14.45" customHeight="1" thickTop="1" x14ac:dyDescent="0.25">
      <c r="A17" s="28"/>
      <c r="B17" s="72"/>
      <c r="C17" s="67"/>
      <c r="D17" s="2"/>
      <c r="E17" s="139"/>
      <c r="F17" s="139"/>
      <c r="G17" s="139"/>
      <c r="H17" s="139"/>
      <c r="I17" s="139"/>
      <c r="J17" s="139"/>
      <c r="K17" s="139"/>
      <c r="L17" s="139"/>
      <c r="M17" s="130">
        <f t="shared" si="0"/>
        <v>0</v>
      </c>
      <c r="N17" s="90"/>
      <c r="O17" s="116">
        <f t="shared" si="1"/>
        <v>0</v>
      </c>
      <c r="P17" s="26"/>
      <c r="S17" s="134"/>
      <c r="T17" s="18"/>
      <c r="U17" s="120"/>
      <c r="V17" s="113" t="str">
        <f t="shared" si="2"/>
        <v/>
      </c>
      <c r="W17" s="27"/>
      <c r="AB17" s="102"/>
      <c r="AD17" s="98"/>
      <c r="AE17" s="47"/>
      <c r="AG17" s="43"/>
      <c r="AI17" s="41"/>
      <c r="AJ17" s="46"/>
      <c r="AK17" s="46"/>
      <c r="AL17" s="46"/>
      <c r="AN17" s="41"/>
      <c r="AO17" t="s">
        <v>42</v>
      </c>
      <c r="AP17" s="26"/>
      <c r="AQ17" s="112">
        <f t="shared" si="4"/>
        <v>0</v>
      </c>
    </row>
    <row r="18" spans="1:43" ht="14.45" customHeight="1" x14ac:dyDescent="0.25">
      <c r="A18" s="28"/>
      <c r="B18" s="72"/>
      <c r="C18" s="67"/>
      <c r="D18" s="2"/>
      <c r="E18" s="139"/>
      <c r="F18" s="139"/>
      <c r="G18" s="139"/>
      <c r="H18" s="139"/>
      <c r="I18" s="139"/>
      <c r="J18" s="139"/>
      <c r="K18" s="139"/>
      <c r="L18" s="139"/>
      <c r="M18" s="130">
        <f t="shared" si="0"/>
        <v>0</v>
      </c>
      <c r="N18" s="90"/>
      <c r="O18" s="116">
        <f t="shared" si="1"/>
        <v>0</v>
      </c>
      <c r="P18" s="26"/>
      <c r="S18" s="134"/>
      <c r="T18" s="18"/>
      <c r="U18" s="120"/>
      <c r="V18" s="113" t="str">
        <f t="shared" si="2"/>
        <v/>
      </c>
      <c r="W18" s="27"/>
      <c r="AB18" s="102"/>
      <c r="AD18" s="98"/>
      <c r="AE18" s="47"/>
      <c r="AG18" s="43"/>
      <c r="AI18" s="41"/>
      <c r="AK18" s="39"/>
      <c r="AL18" s="39"/>
      <c r="AM18" s="39"/>
      <c r="AN18" s="40"/>
      <c r="AO18" t="s">
        <v>43</v>
      </c>
      <c r="AP18" s="26"/>
      <c r="AQ18" s="112">
        <f t="shared" si="4"/>
        <v>0</v>
      </c>
    </row>
    <row r="19" spans="1:43" ht="14.45" customHeight="1" x14ac:dyDescent="0.25">
      <c r="A19" s="28"/>
      <c r="B19" s="72"/>
      <c r="C19" s="67"/>
      <c r="D19" s="2"/>
      <c r="E19" s="139"/>
      <c r="F19" s="139"/>
      <c r="G19" s="139"/>
      <c r="H19" s="139"/>
      <c r="I19" s="139"/>
      <c r="J19" s="139"/>
      <c r="K19" s="139"/>
      <c r="L19" s="139"/>
      <c r="M19" s="130">
        <f t="shared" si="0"/>
        <v>0</v>
      </c>
      <c r="N19" s="90"/>
      <c r="O19" s="116">
        <f t="shared" si="1"/>
        <v>0</v>
      </c>
      <c r="P19" s="26"/>
      <c r="S19" s="134"/>
      <c r="T19" s="18"/>
      <c r="U19" s="120"/>
      <c r="V19" s="113" t="str">
        <f t="shared" si="2"/>
        <v/>
      </c>
      <c r="W19" s="27"/>
      <c r="X19" s="27"/>
      <c r="Y19" s="27"/>
      <c r="Z19" s="99"/>
      <c r="AC19" s="27"/>
      <c r="AE19" s="47"/>
      <c r="AG19" s="43"/>
      <c r="AI19" s="41"/>
      <c r="AJ19" s="153" t="s">
        <v>44</v>
      </c>
      <c r="AK19" s="153"/>
      <c r="AL19" s="153"/>
      <c r="AM19" s="39"/>
      <c r="AN19" s="40"/>
      <c r="AO19" t="s">
        <v>45</v>
      </c>
      <c r="AP19" s="26"/>
      <c r="AQ19" s="112">
        <f t="shared" si="4"/>
        <v>700</v>
      </c>
    </row>
    <row r="20" spans="1:43" ht="14.45" customHeight="1" x14ac:dyDescent="0.25">
      <c r="A20" s="28"/>
      <c r="B20" s="72"/>
      <c r="C20" s="67"/>
      <c r="D20" s="2"/>
      <c r="E20" s="139"/>
      <c r="F20" s="139"/>
      <c r="G20" s="139"/>
      <c r="H20" s="139"/>
      <c r="I20" s="139"/>
      <c r="J20" s="139"/>
      <c r="K20" s="139"/>
      <c r="L20" s="139"/>
      <c r="M20" s="130">
        <f t="shared" si="0"/>
        <v>0</v>
      </c>
      <c r="N20" s="90"/>
      <c r="O20" s="116">
        <f t="shared" si="1"/>
        <v>0</v>
      </c>
      <c r="P20" s="26"/>
      <c r="S20" s="134"/>
      <c r="T20" s="18"/>
      <c r="U20" s="120"/>
      <c r="V20" s="113" t="str">
        <f t="shared" si="2"/>
        <v/>
      </c>
      <c r="W20" s="27"/>
      <c r="X20" s="27"/>
      <c r="Y20" s="27"/>
      <c r="Z20" s="99"/>
      <c r="AC20" s="27"/>
      <c r="AE20" s="47"/>
      <c r="AG20" s="43"/>
      <c r="AI20" s="41"/>
      <c r="AN20" s="41"/>
      <c r="AO20" t="s">
        <v>46</v>
      </c>
      <c r="AP20" s="26"/>
      <c r="AQ20" s="112">
        <f t="shared" si="4"/>
        <v>0</v>
      </c>
    </row>
    <row r="21" spans="1:43" ht="14.45" customHeight="1" x14ac:dyDescent="0.25">
      <c r="A21" s="28"/>
      <c r="B21" s="72"/>
      <c r="C21" s="67"/>
      <c r="D21" s="2"/>
      <c r="E21" s="139"/>
      <c r="F21" s="139"/>
      <c r="G21" s="139"/>
      <c r="H21" s="139"/>
      <c r="I21" s="139"/>
      <c r="J21" s="139"/>
      <c r="K21" s="139"/>
      <c r="L21" s="139"/>
      <c r="M21" s="130">
        <f t="shared" si="0"/>
        <v>0</v>
      </c>
      <c r="N21" s="90"/>
      <c r="O21" s="116">
        <f t="shared" si="1"/>
        <v>0</v>
      </c>
      <c r="P21" s="26"/>
      <c r="S21" s="134"/>
      <c r="T21" s="18"/>
      <c r="U21" s="120"/>
      <c r="V21" s="113" t="str">
        <f t="shared" si="2"/>
        <v/>
      </c>
      <c r="W21" s="27"/>
      <c r="X21" s="27"/>
      <c r="Y21" s="27"/>
      <c r="Z21" s="99"/>
      <c r="AC21" s="27"/>
      <c r="AE21" s="47"/>
      <c r="AG21" s="43"/>
      <c r="AI21" s="41"/>
      <c r="AJ21" t="s">
        <v>47</v>
      </c>
      <c r="AL21" s="112">
        <f t="shared" ref="AL21:AL34" si="5">IFERROR(VLOOKUP(AJ21,$AA$2:$AB$115,2,FALSE),0)</f>
        <v>0</v>
      </c>
      <c r="AN21" s="41"/>
      <c r="AO21" t="s">
        <v>48</v>
      </c>
      <c r="AP21" s="26"/>
      <c r="AQ21" s="112">
        <f t="shared" si="4"/>
        <v>0</v>
      </c>
    </row>
    <row r="22" spans="1:43" ht="14.45" customHeight="1" x14ac:dyDescent="0.25">
      <c r="A22" s="28"/>
      <c r="B22" s="72"/>
      <c r="C22" s="67"/>
      <c r="D22" s="2"/>
      <c r="E22" s="139"/>
      <c r="F22" s="139"/>
      <c r="G22" s="139"/>
      <c r="H22" s="139"/>
      <c r="I22" s="139"/>
      <c r="J22" s="139"/>
      <c r="K22" s="139"/>
      <c r="L22" s="139"/>
      <c r="M22" s="130">
        <f t="shared" si="0"/>
        <v>0</v>
      </c>
      <c r="N22" s="90"/>
      <c r="O22" s="116">
        <f t="shared" si="1"/>
        <v>0</v>
      </c>
      <c r="P22" s="26"/>
      <c r="S22" s="134"/>
      <c r="T22" s="18"/>
      <c r="U22" s="120"/>
      <c r="V22" s="113" t="str">
        <f t="shared" si="2"/>
        <v/>
      </c>
      <c r="AE22" s="47"/>
      <c r="AG22" s="43"/>
      <c r="AI22" s="41"/>
      <c r="AJ22" t="s">
        <v>49</v>
      </c>
      <c r="AL22" s="112">
        <f t="shared" si="5"/>
        <v>140.27707330372539</v>
      </c>
      <c r="AN22" s="41"/>
      <c r="AO22" s="48" t="s">
        <v>50</v>
      </c>
      <c r="AP22" s="26"/>
      <c r="AQ22" s="112">
        <f t="shared" si="4"/>
        <v>0</v>
      </c>
    </row>
    <row r="23" spans="1:43" ht="14.45" customHeight="1" x14ac:dyDescent="0.25">
      <c r="A23" s="28"/>
      <c r="B23" s="72"/>
      <c r="C23" s="67"/>
      <c r="D23" s="2"/>
      <c r="E23" s="139"/>
      <c r="F23" s="139"/>
      <c r="G23" s="139"/>
      <c r="H23" s="139"/>
      <c r="I23" s="139"/>
      <c r="J23" s="139"/>
      <c r="K23" s="139"/>
      <c r="L23" s="139"/>
      <c r="M23" s="130">
        <f t="shared" si="0"/>
        <v>0</v>
      </c>
      <c r="N23" s="90"/>
      <c r="O23" s="116">
        <f t="shared" si="1"/>
        <v>0</v>
      </c>
      <c r="P23" s="26"/>
      <c r="S23" s="134"/>
      <c r="T23" s="18"/>
      <c r="U23" s="120"/>
      <c r="V23" s="113" t="str">
        <f t="shared" si="2"/>
        <v/>
      </c>
      <c r="AE23" s="47"/>
      <c r="AG23" s="43"/>
      <c r="AI23" s="41"/>
      <c r="AJ23" t="s">
        <v>51</v>
      </c>
      <c r="AL23" s="112">
        <f t="shared" si="5"/>
        <v>139.38129926530169</v>
      </c>
      <c r="AN23" s="41"/>
      <c r="AO23" t="s">
        <v>52</v>
      </c>
      <c r="AP23" s="26"/>
      <c r="AQ23" s="112">
        <f t="shared" si="4"/>
        <v>0</v>
      </c>
    </row>
    <row r="24" spans="1:43" ht="14.45" customHeight="1" x14ac:dyDescent="0.25">
      <c r="A24" s="28"/>
      <c r="B24" s="72"/>
      <c r="C24" s="67"/>
      <c r="D24" s="2"/>
      <c r="E24" s="139"/>
      <c r="F24" s="139"/>
      <c r="G24" s="139"/>
      <c r="H24" s="139"/>
      <c r="I24" s="139"/>
      <c r="J24" s="139"/>
      <c r="K24" s="139"/>
      <c r="L24" s="139"/>
      <c r="M24" s="130">
        <f t="shared" si="0"/>
        <v>0</v>
      </c>
      <c r="N24" s="90"/>
      <c r="O24" s="116">
        <f t="shared" si="1"/>
        <v>0</v>
      </c>
      <c r="P24" s="26"/>
      <c r="S24" s="134"/>
      <c r="T24" s="18"/>
      <c r="U24" s="120"/>
      <c r="V24" s="113" t="str">
        <f t="shared" si="2"/>
        <v/>
      </c>
      <c r="AE24" s="47"/>
      <c r="AG24" s="43"/>
      <c r="AI24" s="41"/>
      <c r="AJ24" t="s">
        <v>53</v>
      </c>
      <c r="AL24" s="112">
        <f t="shared" si="5"/>
        <v>0</v>
      </c>
      <c r="AN24" s="41"/>
      <c r="AO24" t="s">
        <v>54</v>
      </c>
      <c r="AP24" s="26"/>
      <c r="AQ24" s="112">
        <f t="shared" si="4"/>
        <v>0</v>
      </c>
    </row>
    <row r="25" spans="1:43" ht="14.45" customHeight="1" x14ac:dyDescent="0.25">
      <c r="A25" s="28"/>
      <c r="B25" s="54"/>
      <c r="C25" s="67"/>
      <c r="D25" s="2"/>
      <c r="E25" s="139"/>
      <c r="F25" s="139"/>
      <c r="G25" s="139"/>
      <c r="H25" s="139"/>
      <c r="I25" s="139"/>
      <c r="J25" s="139"/>
      <c r="K25" s="139"/>
      <c r="L25" s="139"/>
      <c r="M25" s="130">
        <f t="shared" si="0"/>
        <v>0</v>
      </c>
      <c r="N25" s="90"/>
      <c r="O25" s="116">
        <f t="shared" si="1"/>
        <v>0</v>
      </c>
      <c r="P25" s="26"/>
      <c r="S25" s="134"/>
      <c r="T25" s="18"/>
      <c r="U25" s="120"/>
      <c r="V25" s="113" t="str">
        <f t="shared" si="2"/>
        <v/>
      </c>
      <c r="AE25" s="47"/>
      <c r="AG25" s="43"/>
      <c r="AI25" s="41"/>
      <c r="AJ25" t="s">
        <v>55</v>
      </c>
      <c r="AL25" s="112">
        <f t="shared" si="5"/>
        <v>0</v>
      </c>
      <c r="AN25" s="41"/>
      <c r="AO25" t="s">
        <v>56</v>
      </c>
      <c r="AP25" s="26"/>
      <c r="AQ25" s="112">
        <f t="shared" si="4"/>
        <v>1.9018557079059275</v>
      </c>
    </row>
    <row r="26" spans="1:43" ht="14.45" customHeight="1" x14ac:dyDescent="0.25">
      <c r="A26" s="28"/>
      <c r="B26" s="54"/>
      <c r="C26" s="67"/>
      <c r="D26" s="2"/>
      <c r="E26" s="139"/>
      <c r="F26" s="139"/>
      <c r="G26" s="139"/>
      <c r="H26" s="139"/>
      <c r="I26" s="139"/>
      <c r="J26" s="139"/>
      <c r="K26" s="139"/>
      <c r="L26" s="139"/>
      <c r="M26" s="130">
        <f t="shared" si="0"/>
        <v>0</v>
      </c>
      <c r="N26" s="90"/>
      <c r="O26" s="116">
        <f t="shared" si="1"/>
        <v>0</v>
      </c>
      <c r="P26" s="26"/>
      <c r="S26" s="134"/>
      <c r="T26" s="18"/>
      <c r="U26" s="120"/>
      <c r="V26" s="113" t="str">
        <f t="shared" si="2"/>
        <v/>
      </c>
      <c r="AE26" s="47"/>
      <c r="AG26" s="43"/>
      <c r="AI26" s="41"/>
      <c r="AJ26" t="s">
        <v>57</v>
      </c>
      <c r="AL26" s="112">
        <f t="shared" si="5"/>
        <v>0</v>
      </c>
      <c r="AN26" s="41"/>
      <c r="AO26" t="s">
        <v>58</v>
      </c>
      <c r="AP26" s="26"/>
      <c r="AQ26" s="112">
        <f t="shared" si="4"/>
        <v>0</v>
      </c>
    </row>
    <row r="27" spans="1:43" ht="14.45" customHeight="1" thickBot="1" x14ac:dyDescent="0.3">
      <c r="A27" s="28"/>
      <c r="B27" s="54"/>
      <c r="C27" s="67"/>
      <c r="D27" s="2"/>
      <c r="E27" s="139"/>
      <c r="F27" s="139"/>
      <c r="G27" s="139"/>
      <c r="H27" s="139"/>
      <c r="I27" s="139"/>
      <c r="J27" s="139"/>
      <c r="K27" s="139"/>
      <c r="L27" s="139"/>
      <c r="M27" s="130">
        <f t="shared" si="0"/>
        <v>0</v>
      </c>
      <c r="N27" s="90"/>
      <c r="O27" s="116">
        <f t="shared" si="1"/>
        <v>0</v>
      </c>
      <c r="P27" s="26"/>
      <c r="S27" s="134"/>
      <c r="T27" s="18"/>
      <c r="U27" s="120"/>
      <c r="V27" s="113" t="str">
        <f t="shared" si="2"/>
        <v/>
      </c>
      <c r="AE27" s="47"/>
      <c r="AG27" s="43"/>
      <c r="AI27" s="41"/>
      <c r="AJ27" t="s">
        <v>59</v>
      </c>
      <c r="AL27" s="112">
        <f t="shared" si="5"/>
        <v>0</v>
      </c>
      <c r="AN27" s="41"/>
      <c r="AO27" t="s">
        <v>60</v>
      </c>
      <c r="AP27" s="26"/>
      <c r="AQ27" s="112">
        <f t="shared" si="4"/>
        <v>0</v>
      </c>
    </row>
    <row r="28" spans="1:43" ht="14.45" customHeight="1" thickTop="1" thickBot="1" x14ac:dyDescent="0.3">
      <c r="A28" s="28"/>
      <c r="B28" s="54"/>
      <c r="C28" s="67"/>
      <c r="D28" s="2"/>
      <c r="E28" s="139"/>
      <c r="F28" s="139"/>
      <c r="G28" s="139"/>
      <c r="H28" s="139"/>
      <c r="I28" s="139"/>
      <c r="J28" s="139"/>
      <c r="K28" s="139"/>
      <c r="L28" s="139"/>
      <c r="M28" s="130">
        <f t="shared" si="0"/>
        <v>0</v>
      </c>
      <c r="N28" s="90"/>
      <c r="O28" s="116">
        <f t="shared" si="1"/>
        <v>0</v>
      </c>
      <c r="P28" s="26"/>
      <c r="S28" s="134"/>
      <c r="T28" s="18"/>
      <c r="U28" s="120"/>
      <c r="V28" s="113" t="str">
        <f t="shared" si="2"/>
        <v/>
      </c>
      <c r="AE28" s="47"/>
      <c r="AG28" s="43"/>
      <c r="AI28" s="41"/>
      <c r="AJ28" t="s">
        <v>61</v>
      </c>
      <c r="AL28" s="112">
        <f t="shared" si="5"/>
        <v>0</v>
      </c>
      <c r="AN28" s="41"/>
      <c r="AO28" s="49" t="s">
        <v>62</v>
      </c>
      <c r="AP28" s="50" t="s">
        <v>27</v>
      </c>
      <c r="AQ28" s="111">
        <f>SUM(AQ10:AQ26)</f>
        <v>1541.3127309079216</v>
      </c>
    </row>
    <row r="29" spans="1:43" ht="14.45" customHeight="1" thickTop="1" x14ac:dyDescent="0.25">
      <c r="A29" s="28"/>
      <c r="B29" s="54"/>
      <c r="C29" s="67"/>
      <c r="D29" s="2"/>
      <c r="E29" s="139"/>
      <c r="F29" s="139"/>
      <c r="G29" s="139"/>
      <c r="H29" s="139"/>
      <c r="I29" s="139"/>
      <c r="J29" s="139"/>
      <c r="K29" s="139"/>
      <c r="L29" s="139"/>
      <c r="M29" s="130">
        <f t="shared" si="0"/>
        <v>0</v>
      </c>
      <c r="N29" s="90"/>
      <c r="O29" s="116">
        <f t="shared" si="1"/>
        <v>0</v>
      </c>
      <c r="P29" s="26"/>
      <c r="S29" s="134"/>
      <c r="T29" s="18"/>
      <c r="U29" s="120"/>
      <c r="V29" s="113" t="str">
        <f t="shared" si="2"/>
        <v/>
      </c>
      <c r="AE29" s="46"/>
      <c r="AG29" s="43"/>
      <c r="AI29" s="41"/>
      <c r="AJ29" t="s">
        <v>63</v>
      </c>
      <c r="AL29" s="112">
        <f t="shared" si="5"/>
        <v>0</v>
      </c>
      <c r="AN29" s="41"/>
      <c r="AP29" s="35"/>
      <c r="AQ29" s="27"/>
    </row>
    <row r="30" spans="1:43" ht="14.45" customHeight="1" thickBot="1" x14ac:dyDescent="0.3">
      <c r="A30" s="28"/>
      <c r="B30" s="54"/>
      <c r="C30" s="67"/>
      <c r="D30" s="59"/>
      <c r="E30" s="139"/>
      <c r="F30" s="139"/>
      <c r="G30" s="139"/>
      <c r="H30" s="139"/>
      <c r="I30" s="139"/>
      <c r="J30" s="139"/>
      <c r="K30" s="139"/>
      <c r="L30" s="139"/>
      <c r="M30" s="130">
        <f t="shared" si="0"/>
        <v>0</v>
      </c>
      <c r="N30" s="90"/>
      <c r="O30" s="116">
        <f t="shared" si="1"/>
        <v>0</v>
      </c>
      <c r="P30" s="26"/>
      <c r="S30" s="134"/>
      <c r="T30" s="18"/>
      <c r="U30" s="120"/>
      <c r="V30" s="113" t="str">
        <f t="shared" si="2"/>
        <v/>
      </c>
      <c r="AI30" s="41"/>
      <c r="AJ30" t="s">
        <v>64</v>
      </c>
      <c r="AL30" s="112">
        <f t="shared" si="5"/>
        <v>0</v>
      </c>
      <c r="AN30" s="41"/>
      <c r="AP30" s="26"/>
      <c r="AQ30" s="27"/>
    </row>
    <row r="31" spans="1:43" ht="14.45" customHeight="1" thickTop="1" thickBot="1" x14ac:dyDescent="0.3">
      <c r="A31" s="28"/>
      <c r="B31" s="54"/>
      <c r="C31" s="67"/>
      <c r="D31" s="2"/>
      <c r="E31" s="139"/>
      <c r="F31" s="139"/>
      <c r="G31" s="139"/>
      <c r="H31" s="139"/>
      <c r="I31" s="139"/>
      <c r="J31" s="139"/>
      <c r="K31" s="139"/>
      <c r="L31" s="139"/>
      <c r="M31" s="130">
        <f t="shared" si="0"/>
        <v>0</v>
      </c>
      <c r="N31" s="90"/>
      <c r="O31" s="116">
        <f t="shared" si="1"/>
        <v>0</v>
      </c>
      <c r="P31" s="26"/>
      <c r="S31" s="134"/>
      <c r="T31" s="18"/>
      <c r="U31" s="120"/>
      <c r="V31" s="113" t="str">
        <f t="shared" si="2"/>
        <v/>
      </c>
      <c r="AE31" s="35" t="s">
        <v>65</v>
      </c>
      <c r="AF31" s="35" t="s">
        <v>27</v>
      </c>
      <c r="AG31" s="111">
        <f>SUM(AG15:AG29)</f>
        <v>0</v>
      </c>
      <c r="AI31" s="41"/>
      <c r="AJ31" t="s">
        <v>66</v>
      </c>
      <c r="AL31" s="112">
        <f t="shared" si="5"/>
        <v>35.108256367943426</v>
      </c>
      <c r="AN31" s="41"/>
      <c r="AO31" s="35" t="s">
        <v>67</v>
      </c>
      <c r="AP31" s="35" t="s">
        <v>27</v>
      </c>
      <c r="AQ31" s="111">
        <f>SUM(AL16,AL37,AQ28)</f>
        <v>1878.9016283397632</v>
      </c>
    </row>
    <row r="32" spans="1:43" ht="14.45" customHeight="1" thickTop="1" thickBot="1" x14ac:dyDescent="0.3">
      <c r="A32" s="28"/>
      <c r="B32" s="54"/>
      <c r="C32" s="67"/>
      <c r="D32" s="2"/>
      <c r="E32" s="139"/>
      <c r="F32" s="139"/>
      <c r="G32" s="139"/>
      <c r="H32" s="139"/>
      <c r="I32" s="139"/>
      <c r="J32" s="139"/>
      <c r="K32" s="139"/>
      <c r="L32" s="139"/>
      <c r="M32" s="130">
        <f t="shared" si="0"/>
        <v>0</v>
      </c>
      <c r="N32" s="90"/>
      <c r="O32" s="116">
        <f t="shared" si="1"/>
        <v>0</v>
      </c>
      <c r="P32" s="26"/>
      <c r="S32" s="134"/>
      <c r="T32" s="18"/>
      <c r="U32" s="120"/>
      <c r="V32" s="113" t="str">
        <f t="shared" si="2"/>
        <v/>
      </c>
      <c r="AG32" s="27"/>
      <c r="AI32" s="41"/>
      <c r="AJ32" t="s">
        <v>68</v>
      </c>
      <c r="AL32" s="112">
        <f t="shared" si="5"/>
        <v>0</v>
      </c>
      <c r="AN32" s="41"/>
      <c r="AO32" s="45" t="s">
        <v>69</v>
      </c>
      <c r="AP32" s="35"/>
      <c r="AQ32" s="27"/>
    </row>
    <row r="33" spans="1:44" ht="14.45" customHeight="1" thickTop="1" thickBot="1" x14ac:dyDescent="0.3">
      <c r="A33" s="28"/>
      <c r="B33" s="54"/>
      <c r="C33" s="67"/>
      <c r="D33" s="2"/>
      <c r="E33" s="139"/>
      <c r="F33" s="139"/>
      <c r="G33" s="139"/>
      <c r="H33" s="139"/>
      <c r="I33" s="139"/>
      <c r="J33" s="139"/>
      <c r="K33" s="139"/>
      <c r="L33" s="139"/>
      <c r="M33" s="130">
        <f t="shared" si="0"/>
        <v>0</v>
      </c>
      <c r="N33" s="90"/>
      <c r="O33" s="116">
        <f t="shared" si="1"/>
        <v>0</v>
      </c>
      <c r="P33" s="26"/>
      <c r="S33" s="134"/>
      <c r="T33" s="18"/>
      <c r="U33" s="120"/>
      <c r="V33" s="113" t="str">
        <f t="shared" si="2"/>
        <v/>
      </c>
      <c r="AE33" s="35" t="s">
        <v>70</v>
      </c>
      <c r="AF33" s="35" t="s">
        <v>27</v>
      </c>
      <c r="AG33" s="111">
        <f>SUM(AG9,AG10,AG31)</f>
        <v>0</v>
      </c>
      <c r="AI33" s="41"/>
      <c r="AJ33" t="s">
        <v>71</v>
      </c>
      <c r="AL33" s="112">
        <f t="shared" si="5"/>
        <v>0</v>
      </c>
      <c r="AN33" s="41"/>
      <c r="AP33" s="26"/>
      <c r="AQ33" s="27"/>
    </row>
    <row r="34" spans="1:44" ht="14.45" customHeight="1" thickTop="1" thickBot="1" x14ac:dyDescent="0.3">
      <c r="A34" s="28"/>
      <c r="B34" s="61"/>
      <c r="C34" s="68"/>
      <c r="D34" s="62"/>
      <c r="E34" s="139"/>
      <c r="F34" s="139"/>
      <c r="G34" s="139"/>
      <c r="H34" s="139"/>
      <c r="I34" s="139"/>
      <c r="J34" s="139"/>
      <c r="K34" s="139"/>
      <c r="L34" s="139"/>
      <c r="M34" s="130">
        <f t="shared" si="0"/>
        <v>0</v>
      </c>
      <c r="N34" s="90"/>
      <c r="O34" s="116">
        <f t="shared" si="1"/>
        <v>0</v>
      </c>
      <c r="P34" s="26"/>
      <c r="S34" s="134"/>
      <c r="T34" s="18"/>
      <c r="U34" s="120"/>
      <c r="V34" s="113" t="str">
        <f t="shared" si="2"/>
        <v/>
      </c>
      <c r="AE34" s="51" t="s">
        <v>72</v>
      </c>
      <c r="AI34" s="41"/>
      <c r="AJ34" t="s">
        <v>73</v>
      </c>
      <c r="AL34" s="112">
        <f t="shared" si="5"/>
        <v>22.822268494871128</v>
      </c>
      <c r="AN34" s="41"/>
      <c r="AP34" s="26"/>
      <c r="AQ34" s="27"/>
    </row>
    <row r="35" spans="1:44" ht="14.45" customHeight="1" thickTop="1" thickBot="1" x14ac:dyDescent="0.3">
      <c r="A35" s="28"/>
      <c r="B35" s="54"/>
      <c r="C35" s="67"/>
      <c r="D35" s="2"/>
      <c r="E35" s="139"/>
      <c r="F35" s="139"/>
      <c r="G35" s="139"/>
      <c r="H35" s="139"/>
      <c r="I35" s="139"/>
      <c r="J35" s="139"/>
      <c r="K35" s="139"/>
      <c r="L35" s="139"/>
      <c r="M35" s="130">
        <f t="shared" si="0"/>
        <v>0</v>
      </c>
      <c r="N35" s="90"/>
      <c r="O35" s="116">
        <f t="shared" si="1"/>
        <v>0</v>
      </c>
      <c r="P35" s="26"/>
      <c r="S35" s="134"/>
      <c r="T35" s="18"/>
      <c r="U35" s="120"/>
      <c r="V35" s="113" t="str">
        <f t="shared" si="2"/>
        <v/>
      </c>
      <c r="AI35" s="52"/>
      <c r="AJ35" s="46"/>
      <c r="AK35" s="46"/>
      <c r="AL35" s="44"/>
      <c r="AM35" s="53"/>
      <c r="AN35" s="41"/>
      <c r="AO35" s="35" t="s">
        <v>74</v>
      </c>
      <c r="AP35" s="35" t="s">
        <v>27</v>
      </c>
      <c r="AQ35" s="111">
        <f>SUM(AG33-AQ31)</f>
        <v>-1878.9016283397632</v>
      </c>
    </row>
    <row r="36" spans="1:44" ht="14.45" customHeight="1" thickTop="1" thickBot="1" x14ac:dyDescent="0.3">
      <c r="A36" s="28"/>
      <c r="B36" s="54"/>
      <c r="C36" s="67"/>
      <c r="D36" s="2"/>
      <c r="E36" s="139"/>
      <c r="F36" s="139"/>
      <c r="G36" s="139"/>
      <c r="H36" s="139"/>
      <c r="I36" s="139"/>
      <c r="J36" s="139"/>
      <c r="K36" s="139"/>
      <c r="L36" s="139"/>
      <c r="M36" s="130">
        <f t="shared" si="0"/>
        <v>0</v>
      </c>
      <c r="N36" s="90"/>
      <c r="O36" s="116">
        <f t="shared" si="1"/>
        <v>0</v>
      </c>
      <c r="P36" s="26"/>
      <c r="S36" s="134"/>
      <c r="T36" s="18"/>
      <c r="U36" s="120"/>
      <c r="V36" s="113" t="str">
        <f t="shared" si="2"/>
        <v/>
      </c>
      <c r="AI36" s="41"/>
      <c r="AL36" s="27"/>
      <c r="AN36" s="41"/>
      <c r="AO36" s="45" t="s">
        <v>75</v>
      </c>
      <c r="AP36" s="26"/>
    </row>
    <row r="37" spans="1:44" ht="14.45" customHeight="1" thickTop="1" thickBot="1" x14ac:dyDescent="0.3">
      <c r="A37" s="28"/>
      <c r="B37" s="54"/>
      <c r="C37" s="67"/>
      <c r="D37" s="2"/>
      <c r="E37" s="139"/>
      <c r="F37" s="139"/>
      <c r="G37" s="139"/>
      <c r="H37" s="139"/>
      <c r="I37" s="139"/>
      <c r="J37" s="139"/>
      <c r="K37" s="139"/>
      <c r="L37" s="139"/>
      <c r="M37" s="130">
        <f t="shared" si="0"/>
        <v>0</v>
      </c>
      <c r="N37" s="90"/>
      <c r="O37" s="116">
        <f t="shared" si="1"/>
        <v>0</v>
      </c>
      <c r="P37" s="26"/>
      <c r="S37" s="134"/>
      <c r="T37" s="18"/>
      <c r="U37" s="120"/>
      <c r="V37" s="113" t="str">
        <f t="shared" si="2"/>
        <v/>
      </c>
      <c r="AI37" s="41"/>
      <c r="AJ37" s="35" t="s">
        <v>76</v>
      </c>
      <c r="AK37" s="35" t="s">
        <v>27</v>
      </c>
      <c r="AL37" s="111">
        <f>SUM(AL21:AL34)</f>
        <v>337.58889743184164</v>
      </c>
      <c r="AN37" s="41"/>
      <c r="AP37" s="26"/>
    </row>
    <row r="38" spans="1:44" ht="14.45" customHeight="1" thickTop="1" x14ac:dyDescent="0.25">
      <c r="A38" s="28"/>
      <c r="B38" s="54"/>
      <c r="C38" s="67"/>
      <c r="D38" s="2"/>
      <c r="E38" s="139"/>
      <c r="F38" s="139"/>
      <c r="G38" s="139"/>
      <c r="H38" s="139"/>
      <c r="I38" s="139"/>
      <c r="J38" s="139"/>
      <c r="K38" s="139"/>
      <c r="L38" s="139"/>
      <c r="M38" s="130">
        <f t="shared" si="0"/>
        <v>0</v>
      </c>
      <c r="N38" s="90"/>
      <c r="O38" s="116">
        <f t="shared" si="1"/>
        <v>0</v>
      </c>
      <c r="P38" s="26"/>
      <c r="S38" s="134"/>
      <c r="T38" s="18"/>
      <c r="U38" s="120"/>
      <c r="V38" s="113" t="str">
        <f t="shared" si="2"/>
        <v/>
      </c>
      <c r="AI38" s="52"/>
      <c r="AJ38" s="46"/>
      <c r="AK38" s="46"/>
      <c r="AL38" s="46"/>
      <c r="AM38" s="46"/>
      <c r="AN38" s="41"/>
      <c r="AP38" s="26"/>
    </row>
    <row r="39" spans="1:44" ht="14.45" customHeight="1" x14ac:dyDescent="0.25">
      <c r="A39" s="28"/>
      <c r="B39" s="54"/>
      <c r="C39" s="67"/>
      <c r="D39" s="2"/>
      <c r="E39" s="139"/>
      <c r="F39" s="139"/>
      <c r="G39" s="139"/>
      <c r="H39" s="139"/>
      <c r="I39" s="139"/>
      <c r="J39" s="139"/>
      <c r="K39" s="139"/>
      <c r="L39" s="139"/>
      <c r="M39" s="130">
        <f t="shared" si="0"/>
        <v>0</v>
      </c>
      <c r="N39" s="90"/>
      <c r="O39" s="116">
        <f t="shared" si="1"/>
        <v>0</v>
      </c>
      <c r="P39" s="26"/>
      <c r="S39" s="134"/>
      <c r="T39" s="18"/>
      <c r="U39" s="120"/>
      <c r="V39" s="113" t="str">
        <f t="shared" si="2"/>
        <v/>
      </c>
    </row>
    <row r="40" spans="1:44" ht="14.45" customHeight="1" x14ac:dyDescent="0.25">
      <c r="A40" s="28"/>
      <c r="B40" s="54"/>
      <c r="C40" s="67"/>
      <c r="D40" s="2"/>
      <c r="E40" s="139"/>
      <c r="F40" s="139"/>
      <c r="G40" s="139"/>
      <c r="H40" s="139"/>
      <c r="I40" s="139"/>
      <c r="J40" s="139"/>
      <c r="K40" s="139"/>
      <c r="L40" s="139"/>
      <c r="M40" s="130">
        <f t="shared" si="0"/>
        <v>0</v>
      </c>
      <c r="N40" s="90"/>
      <c r="O40" s="116">
        <f t="shared" si="1"/>
        <v>0</v>
      </c>
      <c r="P40" s="26"/>
      <c r="S40" s="134"/>
      <c r="T40" s="18"/>
      <c r="U40" s="120"/>
      <c r="V40" s="113" t="str">
        <f t="shared" si="2"/>
        <v/>
      </c>
    </row>
    <row r="41" spans="1:44" ht="14.45" customHeight="1" x14ac:dyDescent="0.25">
      <c r="A41" s="28"/>
      <c r="B41" s="54"/>
      <c r="C41" s="67"/>
      <c r="D41" s="2"/>
      <c r="E41" s="139"/>
      <c r="F41" s="139"/>
      <c r="G41" s="139"/>
      <c r="H41" s="139"/>
      <c r="I41" s="139"/>
      <c r="J41" s="139"/>
      <c r="K41" s="139"/>
      <c r="L41" s="139"/>
      <c r="M41" s="130">
        <f t="shared" si="0"/>
        <v>0</v>
      </c>
      <c r="N41" s="90"/>
      <c r="O41" s="116">
        <f t="shared" si="1"/>
        <v>0</v>
      </c>
      <c r="P41" s="26"/>
      <c r="S41" s="134"/>
      <c r="T41" s="18"/>
      <c r="U41" s="120"/>
      <c r="V41" s="113" t="str">
        <f t="shared" si="2"/>
        <v/>
      </c>
    </row>
    <row r="42" spans="1:44" ht="14.45" customHeight="1" x14ac:dyDescent="0.25">
      <c r="A42" s="28"/>
      <c r="B42" s="54"/>
      <c r="C42" s="2"/>
      <c r="D42" s="2"/>
      <c r="E42" s="139"/>
      <c r="F42" s="2"/>
      <c r="G42" s="2"/>
      <c r="H42" s="139"/>
      <c r="I42" s="139"/>
      <c r="J42" s="139"/>
      <c r="K42" s="139"/>
      <c r="L42" s="139"/>
      <c r="M42" s="130">
        <f t="shared" si="0"/>
        <v>0</v>
      </c>
      <c r="N42" s="90"/>
      <c r="O42" s="116">
        <f t="shared" si="1"/>
        <v>0</v>
      </c>
      <c r="P42" s="26"/>
      <c r="S42" s="134"/>
      <c r="T42" s="18"/>
      <c r="U42" s="120"/>
      <c r="V42" s="113" t="str">
        <f t="shared" si="2"/>
        <v/>
      </c>
    </row>
    <row r="43" spans="1:44" ht="14.45" customHeight="1" x14ac:dyDescent="0.25">
      <c r="A43" s="28"/>
      <c r="B43" s="54"/>
      <c r="C43" s="2"/>
      <c r="D43" s="2"/>
      <c r="E43" s="139"/>
      <c r="F43" s="2"/>
      <c r="G43" s="2"/>
      <c r="H43" s="139"/>
      <c r="I43" s="139"/>
      <c r="J43" s="139"/>
      <c r="K43" s="139"/>
      <c r="L43" s="139"/>
      <c r="M43" s="130">
        <f t="shared" si="0"/>
        <v>0</v>
      </c>
      <c r="N43" s="90"/>
      <c r="O43" s="116">
        <f t="shared" si="1"/>
        <v>0</v>
      </c>
      <c r="P43" s="26"/>
      <c r="S43" s="134"/>
      <c r="T43" s="18"/>
      <c r="U43" s="120"/>
      <c r="V43" s="113" t="str">
        <f t="shared" si="2"/>
        <v/>
      </c>
    </row>
    <row r="44" spans="1:44" ht="14.45" customHeight="1" x14ac:dyDescent="0.25">
      <c r="A44" s="28"/>
      <c r="B44" s="55"/>
      <c r="C44" s="2"/>
      <c r="D44" s="2"/>
      <c r="E44" s="2"/>
      <c r="F44" s="2"/>
      <c r="G44" s="2"/>
      <c r="H44" s="139"/>
      <c r="I44" s="139"/>
      <c r="J44" s="139"/>
      <c r="K44" s="139"/>
      <c r="L44" s="139"/>
      <c r="M44" s="130">
        <f t="shared" si="0"/>
        <v>0</v>
      </c>
      <c r="N44" s="90"/>
      <c r="O44" s="116">
        <f t="shared" si="1"/>
        <v>0</v>
      </c>
      <c r="P44" s="26"/>
      <c r="S44" s="134"/>
      <c r="T44" s="18"/>
      <c r="U44" s="120"/>
      <c r="V44" s="113" t="str">
        <f t="shared" si="2"/>
        <v/>
      </c>
    </row>
    <row r="45" spans="1:44" ht="14.45" customHeight="1" x14ac:dyDescent="0.25">
      <c r="A45" s="28"/>
      <c r="B45" s="55"/>
      <c r="C45" s="2"/>
      <c r="D45" s="2"/>
      <c r="E45" s="2"/>
      <c r="F45" s="2"/>
      <c r="G45" s="2"/>
      <c r="H45" s="139"/>
      <c r="I45" s="139"/>
      <c r="J45" s="139"/>
      <c r="K45" s="139"/>
      <c r="L45" s="139"/>
      <c r="M45" s="130">
        <f t="shared" si="0"/>
        <v>0</v>
      </c>
      <c r="N45" s="90"/>
      <c r="O45" s="116">
        <f t="shared" si="1"/>
        <v>0</v>
      </c>
      <c r="P45" s="26"/>
      <c r="S45" s="134"/>
      <c r="T45" s="18"/>
      <c r="U45" s="120"/>
      <c r="V45" s="113" t="str">
        <f t="shared" si="2"/>
        <v/>
      </c>
    </row>
    <row r="46" spans="1:44" ht="14.45" customHeight="1" x14ac:dyDescent="0.25">
      <c r="A46" s="28"/>
      <c r="B46" s="54"/>
      <c r="C46" s="2"/>
      <c r="D46" s="2"/>
      <c r="E46" s="2"/>
      <c r="F46" s="2"/>
      <c r="G46" s="2"/>
      <c r="H46" s="139"/>
      <c r="I46" s="139"/>
      <c r="J46" s="139"/>
      <c r="K46" s="139"/>
      <c r="L46" s="139"/>
      <c r="M46" s="130">
        <f t="shared" si="0"/>
        <v>0</v>
      </c>
      <c r="N46" s="90"/>
      <c r="O46" s="116">
        <f t="shared" ref="O46:O59" si="6">IFERROR(SUM(M46)/$Y$1,"")</f>
        <v>0</v>
      </c>
      <c r="P46" s="26"/>
      <c r="S46" s="134"/>
      <c r="T46" s="18"/>
      <c r="U46" s="120"/>
      <c r="V46" s="113" t="str">
        <f t="shared" si="2"/>
        <v/>
      </c>
      <c r="AE46" s="103"/>
      <c r="AF46" s="103"/>
      <c r="AG46" s="104"/>
      <c r="AH46" s="103"/>
      <c r="AI46" s="103"/>
      <c r="AJ46" s="103"/>
      <c r="AK46" s="103"/>
      <c r="AL46" s="104"/>
      <c r="AM46" s="103"/>
      <c r="AN46" s="103"/>
      <c r="AO46" s="105"/>
      <c r="AP46" s="106"/>
      <c r="AQ46" s="104"/>
      <c r="AR46" s="103"/>
    </row>
    <row r="47" spans="1:44" ht="14.45" customHeight="1" x14ac:dyDescent="0.25">
      <c r="A47" s="28"/>
      <c r="B47" s="54"/>
      <c r="C47" s="2"/>
      <c r="D47" s="2"/>
      <c r="E47" s="2"/>
      <c r="F47" s="2"/>
      <c r="G47" s="2"/>
      <c r="H47" s="139"/>
      <c r="I47" s="139"/>
      <c r="J47" s="139"/>
      <c r="K47" s="139"/>
      <c r="L47" s="139"/>
      <c r="M47" s="130">
        <f t="shared" si="0"/>
        <v>0</v>
      </c>
      <c r="N47" s="90"/>
      <c r="O47" s="116">
        <f t="shared" si="6"/>
        <v>0</v>
      </c>
      <c r="P47" s="26"/>
      <c r="S47" s="134"/>
      <c r="T47" s="18"/>
      <c r="U47" s="120"/>
      <c r="V47" s="113" t="str">
        <f t="shared" si="2"/>
        <v/>
      </c>
      <c r="AE47" s="106"/>
      <c r="AF47" s="106"/>
      <c r="AG47" s="104"/>
      <c r="AH47" s="103"/>
      <c r="AI47" s="103"/>
      <c r="AJ47" s="103"/>
      <c r="AK47" s="103"/>
      <c r="AL47" s="104"/>
      <c r="AM47" s="103"/>
      <c r="AN47" s="103"/>
      <c r="AO47" s="103"/>
      <c r="AP47" s="107"/>
      <c r="AQ47" s="104"/>
      <c r="AR47" s="103"/>
    </row>
    <row r="48" spans="1:44" ht="14.45" customHeight="1" x14ac:dyDescent="0.25">
      <c r="A48" s="28"/>
      <c r="B48" s="61"/>
      <c r="C48" s="2"/>
      <c r="D48" s="2"/>
      <c r="E48" s="2"/>
      <c r="F48" s="2"/>
      <c r="G48" s="2"/>
      <c r="H48" s="139"/>
      <c r="I48" s="139"/>
      <c r="J48" s="139"/>
      <c r="K48" s="139"/>
      <c r="L48" s="139"/>
      <c r="M48" s="130">
        <f t="shared" si="0"/>
        <v>0</v>
      </c>
      <c r="N48" s="90"/>
      <c r="O48" s="116">
        <f t="shared" si="6"/>
        <v>0</v>
      </c>
      <c r="P48" s="26"/>
      <c r="S48" s="134"/>
      <c r="T48" s="18"/>
      <c r="U48" s="120"/>
      <c r="V48" s="113" t="str">
        <f t="shared" si="2"/>
        <v/>
      </c>
      <c r="AE48" s="108"/>
      <c r="AF48" s="103"/>
      <c r="AG48" s="103"/>
      <c r="AH48" s="103"/>
      <c r="AI48" s="103"/>
      <c r="AJ48" s="103"/>
      <c r="AK48" s="103"/>
      <c r="AL48" s="104"/>
      <c r="AM48" s="103"/>
      <c r="AN48" s="103"/>
      <c r="AO48" s="103"/>
      <c r="AP48" s="107"/>
      <c r="AQ48" s="104"/>
      <c r="AR48" s="103"/>
    </row>
    <row r="49" spans="1:44" ht="14.45" customHeight="1" x14ac:dyDescent="0.25">
      <c r="A49" s="28"/>
      <c r="B49" s="54"/>
      <c r="C49" s="2"/>
      <c r="D49" s="2"/>
      <c r="E49" s="2"/>
      <c r="F49" s="2"/>
      <c r="G49" s="2"/>
      <c r="H49" s="139"/>
      <c r="I49" s="139"/>
      <c r="J49" s="139"/>
      <c r="K49" s="139"/>
      <c r="L49" s="139"/>
      <c r="M49" s="130">
        <f t="shared" si="0"/>
        <v>0</v>
      </c>
      <c r="N49" s="90"/>
      <c r="O49" s="116">
        <f t="shared" si="6"/>
        <v>0</v>
      </c>
      <c r="P49" s="26"/>
      <c r="S49" s="134"/>
      <c r="T49" s="18"/>
      <c r="U49" s="120"/>
      <c r="V49" s="113" t="str">
        <f t="shared" si="2"/>
        <v/>
      </c>
      <c r="AE49" s="103"/>
      <c r="AF49" s="103"/>
      <c r="AG49" s="103"/>
      <c r="AH49" s="103"/>
      <c r="AI49" s="103"/>
      <c r="AJ49" s="103"/>
      <c r="AK49" s="103"/>
      <c r="AL49" s="104"/>
      <c r="AM49" s="103"/>
      <c r="AN49" s="103"/>
      <c r="AO49" s="106"/>
      <c r="AP49" s="106"/>
      <c r="AQ49" s="104"/>
      <c r="AR49" s="103"/>
    </row>
    <row r="50" spans="1:44" ht="14.45" customHeight="1" x14ac:dyDescent="0.25">
      <c r="A50" s="28"/>
      <c r="B50" s="54"/>
      <c r="C50" s="2"/>
      <c r="D50" s="2"/>
      <c r="E50" s="2"/>
      <c r="F50" s="2"/>
      <c r="G50" s="2"/>
      <c r="H50" s="139"/>
      <c r="I50" s="139"/>
      <c r="J50" s="139"/>
      <c r="K50" s="139"/>
      <c r="L50" s="139"/>
      <c r="M50" s="130">
        <f t="shared" si="0"/>
        <v>0</v>
      </c>
      <c r="N50" s="90"/>
      <c r="O50" s="116">
        <f t="shared" si="6"/>
        <v>0</v>
      </c>
      <c r="P50" s="26"/>
      <c r="S50" s="134"/>
      <c r="T50" s="18"/>
      <c r="U50" s="120"/>
      <c r="V50" s="113" t="str">
        <f t="shared" si="2"/>
        <v/>
      </c>
      <c r="AE50" s="103"/>
      <c r="AF50" s="103"/>
      <c r="AG50" s="103"/>
      <c r="AH50" s="103"/>
      <c r="AI50" s="103"/>
      <c r="AJ50" s="103"/>
      <c r="AK50" s="103"/>
      <c r="AL50" s="104"/>
      <c r="AM50" s="103"/>
      <c r="AN50" s="103"/>
      <c r="AO50" s="105"/>
      <c r="AP50" s="107"/>
      <c r="AQ50" s="103"/>
      <c r="AR50" s="103"/>
    </row>
    <row r="51" spans="1:44" ht="14.45" customHeight="1" x14ac:dyDescent="0.25">
      <c r="A51" s="28"/>
      <c r="B51" s="54"/>
      <c r="C51" s="2"/>
      <c r="D51" s="2"/>
      <c r="E51" s="2"/>
      <c r="F51" s="2"/>
      <c r="G51" s="2"/>
      <c r="H51" s="139"/>
      <c r="I51" s="139"/>
      <c r="J51" s="139"/>
      <c r="K51" s="139"/>
      <c r="L51" s="139"/>
      <c r="M51" s="130">
        <f t="shared" si="0"/>
        <v>0</v>
      </c>
      <c r="N51" s="90"/>
      <c r="O51" s="116">
        <f t="shared" si="6"/>
        <v>0</v>
      </c>
      <c r="P51" s="26"/>
      <c r="S51" s="134"/>
      <c r="T51" s="18"/>
      <c r="U51" s="120"/>
      <c r="V51" s="113" t="str">
        <f t="shared" si="2"/>
        <v/>
      </c>
      <c r="AE51" s="103"/>
      <c r="AF51" s="103"/>
      <c r="AG51" s="103"/>
      <c r="AH51" s="103"/>
      <c r="AI51" s="103"/>
      <c r="AJ51" s="106"/>
      <c r="AK51" s="106"/>
      <c r="AL51" s="104"/>
      <c r="AM51" s="103"/>
      <c r="AN51" s="103"/>
      <c r="AO51" s="103"/>
      <c r="AP51" s="107"/>
      <c r="AQ51" s="103"/>
      <c r="AR51" s="103"/>
    </row>
    <row r="52" spans="1:44" ht="14.45" customHeight="1" x14ac:dyDescent="0.25">
      <c r="A52" s="28"/>
      <c r="B52" s="54"/>
      <c r="C52" s="2"/>
      <c r="D52" s="2"/>
      <c r="E52" s="2"/>
      <c r="F52" s="2"/>
      <c r="G52" s="2"/>
      <c r="H52" s="139"/>
      <c r="I52" s="139"/>
      <c r="J52" s="139"/>
      <c r="K52" s="139"/>
      <c r="L52" s="139"/>
      <c r="M52" s="130">
        <f t="shared" si="0"/>
        <v>0</v>
      </c>
      <c r="N52" s="90"/>
      <c r="O52" s="116">
        <f t="shared" si="6"/>
        <v>0</v>
      </c>
      <c r="P52" s="26"/>
      <c r="S52" s="134"/>
      <c r="T52" s="18"/>
      <c r="U52" s="120"/>
      <c r="V52" s="113" t="str">
        <f t="shared" si="2"/>
        <v/>
      </c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7"/>
      <c r="AQ52" s="103"/>
      <c r="AR52" s="103"/>
    </row>
    <row r="53" spans="1:44" ht="14.45" customHeight="1" x14ac:dyDescent="0.25">
      <c r="A53" s="28"/>
      <c r="B53" s="54"/>
      <c r="C53" s="2"/>
      <c r="D53" s="2"/>
      <c r="E53" s="2"/>
      <c r="F53" s="2"/>
      <c r="G53" s="2"/>
      <c r="H53" s="139"/>
      <c r="I53" s="139"/>
      <c r="J53" s="139"/>
      <c r="K53" s="139"/>
      <c r="L53" s="139"/>
      <c r="M53" s="130">
        <f t="shared" si="0"/>
        <v>0</v>
      </c>
      <c r="N53" s="90"/>
      <c r="O53" s="116">
        <f t="shared" si="6"/>
        <v>0</v>
      </c>
      <c r="P53" s="26"/>
      <c r="S53" s="134"/>
      <c r="T53" s="18"/>
      <c r="U53" s="120"/>
      <c r="V53" s="113" t="str">
        <f t="shared" si="2"/>
        <v/>
      </c>
    </row>
    <row r="54" spans="1:44" ht="14.45" customHeight="1" x14ac:dyDescent="0.25">
      <c r="A54" s="28"/>
      <c r="B54" s="54"/>
      <c r="C54" s="2"/>
      <c r="D54" s="2"/>
      <c r="E54" s="2"/>
      <c r="F54" s="2"/>
      <c r="G54" s="2"/>
      <c r="H54" s="139"/>
      <c r="I54" s="139"/>
      <c r="J54" s="139"/>
      <c r="K54" s="139"/>
      <c r="L54" s="139"/>
      <c r="M54" s="130">
        <f t="shared" si="0"/>
        <v>0</v>
      </c>
      <c r="N54" s="90"/>
      <c r="O54" s="116">
        <f t="shared" si="6"/>
        <v>0</v>
      </c>
      <c r="P54" s="26"/>
      <c r="S54" s="134"/>
      <c r="T54" s="18"/>
      <c r="U54" s="120"/>
      <c r="V54" s="113" t="str">
        <f t="shared" si="2"/>
        <v/>
      </c>
    </row>
    <row r="55" spans="1:44" ht="14.45" customHeight="1" x14ac:dyDescent="0.25">
      <c r="A55" s="28"/>
      <c r="B55" s="54"/>
      <c r="C55" s="2"/>
      <c r="D55" s="2"/>
      <c r="E55" s="2"/>
      <c r="F55" s="2"/>
      <c r="G55" s="2"/>
      <c r="H55" s="139"/>
      <c r="I55" s="139"/>
      <c r="J55" s="139"/>
      <c r="K55" s="139"/>
      <c r="L55" s="139"/>
      <c r="M55" s="130">
        <f t="shared" si="0"/>
        <v>0</v>
      </c>
      <c r="N55" s="90"/>
      <c r="O55" s="116">
        <f t="shared" si="6"/>
        <v>0</v>
      </c>
      <c r="P55" s="26"/>
      <c r="S55" s="134"/>
      <c r="T55" s="18"/>
      <c r="U55" s="120"/>
      <c r="V55" s="113" t="str">
        <f t="shared" si="2"/>
        <v/>
      </c>
    </row>
    <row r="56" spans="1:44" ht="14.45" customHeight="1" x14ac:dyDescent="0.25">
      <c r="A56" s="28"/>
      <c r="B56" s="54"/>
      <c r="C56" s="2"/>
      <c r="D56" s="2"/>
      <c r="E56" s="2"/>
      <c r="F56" s="2"/>
      <c r="G56" s="2"/>
      <c r="H56" s="139"/>
      <c r="I56" s="139"/>
      <c r="J56" s="139"/>
      <c r="K56" s="139"/>
      <c r="L56" s="139"/>
      <c r="M56" s="130">
        <f t="shared" si="0"/>
        <v>0</v>
      </c>
      <c r="N56" s="90"/>
      <c r="O56" s="116">
        <f t="shared" si="6"/>
        <v>0</v>
      </c>
      <c r="P56" s="26"/>
      <c r="S56" s="134"/>
      <c r="T56" s="18"/>
      <c r="U56" s="120"/>
      <c r="V56" s="113" t="str">
        <f t="shared" si="2"/>
        <v/>
      </c>
    </row>
    <row r="57" spans="1:44" ht="14.45" customHeight="1" x14ac:dyDescent="0.25">
      <c r="A57" s="28"/>
      <c r="B57" s="54"/>
      <c r="C57" s="2"/>
      <c r="D57" s="2"/>
      <c r="E57" s="2"/>
      <c r="F57" s="2"/>
      <c r="G57" s="2"/>
      <c r="H57" s="139"/>
      <c r="I57" s="139"/>
      <c r="J57" s="139"/>
      <c r="K57" s="139"/>
      <c r="L57" s="139"/>
      <c r="M57" s="130">
        <f t="shared" si="0"/>
        <v>0</v>
      </c>
      <c r="N57" s="90"/>
      <c r="O57" s="116">
        <f t="shared" si="6"/>
        <v>0</v>
      </c>
      <c r="P57" s="26"/>
      <c r="S57" s="134"/>
      <c r="T57" s="18"/>
      <c r="U57" s="120"/>
      <c r="V57" s="113" t="str">
        <f t="shared" si="2"/>
        <v/>
      </c>
    </row>
    <row r="58" spans="1:44" ht="14.45" customHeight="1" x14ac:dyDescent="0.25">
      <c r="A58" s="28"/>
      <c r="B58" s="55"/>
      <c r="C58" s="2"/>
      <c r="D58" s="2"/>
      <c r="E58" s="2"/>
      <c r="F58" s="2"/>
      <c r="G58" s="2"/>
      <c r="H58" s="139"/>
      <c r="I58" s="139"/>
      <c r="J58" s="139"/>
      <c r="K58" s="139"/>
      <c r="L58" s="139"/>
      <c r="M58" s="130">
        <f t="shared" si="0"/>
        <v>0</v>
      </c>
      <c r="N58" s="90"/>
      <c r="O58" s="116">
        <f t="shared" si="6"/>
        <v>0</v>
      </c>
      <c r="P58" s="26"/>
      <c r="S58" s="134"/>
      <c r="T58" s="18"/>
      <c r="U58" s="120"/>
      <c r="V58" s="113" t="str">
        <f t="shared" si="2"/>
        <v/>
      </c>
    </row>
    <row r="59" spans="1:44" ht="14.45" customHeight="1" x14ac:dyDescent="0.25">
      <c r="A59" s="28"/>
      <c r="B59" s="55"/>
      <c r="C59" s="2"/>
      <c r="D59" s="2"/>
      <c r="E59" s="2"/>
      <c r="F59" s="2"/>
      <c r="G59" s="2"/>
      <c r="H59" s="139"/>
      <c r="I59" s="139"/>
      <c r="J59" s="139"/>
      <c r="K59" s="139"/>
      <c r="L59" s="139"/>
      <c r="M59" s="130">
        <f t="shared" si="0"/>
        <v>0</v>
      </c>
      <c r="N59" s="90"/>
      <c r="O59" s="116">
        <f t="shared" si="6"/>
        <v>0</v>
      </c>
      <c r="P59" s="26"/>
      <c r="S59" s="134"/>
      <c r="T59" s="18"/>
      <c r="U59" s="120"/>
      <c r="V59" s="113" t="str">
        <f t="shared" si="2"/>
        <v/>
      </c>
    </row>
    <row r="60" spans="1:44" ht="14.45" customHeight="1" x14ac:dyDescent="0.25">
      <c r="A60" s="28"/>
      <c r="B60" s="54"/>
      <c r="C60" s="2"/>
      <c r="D60" s="2"/>
      <c r="E60" s="2"/>
      <c r="F60" s="2"/>
      <c r="G60" s="2"/>
      <c r="H60" s="139"/>
      <c r="I60" s="139"/>
      <c r="J60" s="139"/>
      <c r="K60" s="139"/>
      <c r="L60" s="139"/>
      <c r="M60" s="130">
        <f t="shared" si="0"/>
        <v>0</v>
      </c>
      <c r="N60" s="90"/>
      <c r="O60" s="116">
        <f t="shared" ref="O60" si="7">IFERROR(SUM(M60)/$Y$1,"")</f>
        <v>0</v>
      </c>
      <c r="P60" s="26"/>
      <c r="S60" s="134"/>
      <c r="T60" s="18"/>
      <c r="U60" s="120"/>
      <c r="V60" s="113" t="str">
        <f t="shared" si="2"/>
        <v/>
      </c>
    </row>
    <row r="61" spans="1:44" ht="14.45" customHeight="1" x14ac:dyDescent="0.25">
      <c r="A61" s="28"/>
      <c r="B61" s="54"/>
      <c r="C61" s="2"/>
      <c r="D61" s="2"/>
      <c r="E61" s="2"/>
      <c r="F61" s="2"/>
      <c r="G61" s="2"/>
      <c r="H61" s="139"/>
      <c r="I61" s="139"/>
      <c r="J61" s="139"/>
      <c r="K61" s="139"/>
      <c r="L61" s="139"/>
      <c r="M61" s="130">
        <f t="shared" si="0"/>
        <v>0</v>
      </c>
      <c r="N61" s="90"/>
      <c r="O61" s="116">
        <f t="shared" si="1"/>
        <v>0</v>
      </c>
      <c r="P61" s="26"/>
      <c r="S61" s="134"/>
      <c r="T61" s="18"/>
      <c r="U61" s="120"/>
      <c r="V61" s="113" t="str">
        <f t="shared" si="2"/>
        <v/>
      </c>
    </row>
    <row r="62" spans="1:44" ht="14.45" customHeight="1" x14ac:dyDescent="0.25">
      <c r="A62" s="28"/>
      <c r="B62" s="54"/>
      <c r="C62" s="2"/>
      <c r="D62" s="2"/>
      <c r="E62" s="2"/>
      <c r="F62" s="2"/>
      <c r="G62" s="2"/>
      <c r="H62" s="139"/>
      <c r="I62" s="139"/>
      <c r="J62" s="139"/>
      <c r="K62" s="139"/>
      <c r="L62" s="139"/>
      <c r="M62" s="130">
        <f t="shared" si="0"/>
        <v>0</v>
      </c>
      <c r="N62" s="90"/>
      <c r="O62" s="144">
        <f t="shared" si="1"/>
        <v>0</v>
      </c>
      <c r="P62" s="26"/>
      <c r="S62" s="134"/>
      <c r="T62" s="18"/>
      <c r="U62" s="120"/>
      <c r="V62" s="113" t="str">
        <f t="shared" si="2"/>
        <v/>
      </c>
    </row>
    <row r="63" spans="1:44" ht="14.45" customHeight="1" x14ac:dyDescent="0.25">
      <c r="A63" s="130">
        <f>SUM(M67+10)</f>
        <v>3579.6799999999994</v>
      </c>
      <c r="B63" s="3" t="s">
        <v>20</v>
      </c>
      <c r="C63" s="133">
        <f>IFERROR(SUM(M67/Y1),"")</f>
        <v>678.90162833976296</v>
      </c>
      <c r="D63" s="22" t="s">
        <v>21</v>
      </c>
      <c r="E63" s="130">
        <f>Y1</f>
        <v>5.2580224453571613</v>
      </c>
      <c r="J63" s="22"/>
      <c r="K63" s="22"/>
      <c r="L63" s="21"/>
      <c r="M63" s="23"/>
      <c r="N63" s="90"/>
      <c r="O63" s="145"/>
      <c r="P63" s="146"/>
      <c r="T63" s="18"/>
      <c r="V63" t="str">
        <f t="shared" si="2"/>
        <v/>
      </c>
    </row>
    <row r="64" spans="1:44" ht="14.45" customHeight="1" x14ac:dyDescent="0.25">
      <c r="A64" s="29"/>
      <c r="B64" s="3"/>
      <c r="C64" s="3"/>
      <c r="D64" s="4"/>
      <c r="E64" s="4"/>
      <c r="F64" s="22"/>
      <c r="G64" s="22"/>
      <c r="H64" s="22"/>
      <c r="I64" s="22"/>
      <c r="J64" s="22"/>
      <c r="K64" s="22"/>
      <c r="L64" s="21"/>
      <c r="M64" s="21"/>
      <c r="N64" s="90"/>
      <c r="O64" s="145"/>
      <c r="P64" s="146"/>
      <c r="T64" s="18"/>
      <c r="V64" t="str">
        <f t="shared" si="2"/>
        <v/>
      </c>
    </row>
    <row r="65" spans="1:20" ht="14.45" customHeight="1" thickBot="1" x14ac:dyDescent="0.3">
      <c r="A65" s="30"/>
      <c r="B65" s="5"/>
      <c r="C65" s="5"/>
      <c r="D65" s="6"/>
      <c r="E65" s="6"/>
      <c r="F65" s="24"/>
      <c r="G65" s="24"/>
      <c r="H65" s="24"/>
      <c r="I65" s="24"/>
      <c r="J65" s="24"/>
      <c r="K65" s="24"/>
      <c r="L65" s="24"/>
      <c r="M65" s="24"/>
      <c r="N65" s="90"/>
      <c r="O65" s="145"/>
      <c r="P65" s="146"/>
    </row>
    <row r="66" spans="1:20" ht="14.45" customHeight="1" thickTop="1" thickBot="1" x14ac:dyDescent="0.3">
      <c r="A66" s="109">
        <v>4500</v>
      </c>
      <c r="B66" s="7"/>
      <c r="C66" s="7" t="s">
        <v>5</v>
      </c>
      <c r="D66" s="8"/>
      <c r="E66" s="31"/>
      <c r="F66" s="9"/>
      <c r="G66" s="9"/>
      <c r="H66" s="9"/>
      <c r="I66" s="9"/>
      <c r="J66" s="9"/>
      <c r="K66" s="9"/>
      <c r="M66" s="10"/>
      <c r="N66" s="91"/>
      <c r="O66" s="145"/>
      <c r="P66" s="146"/>
    </row>
    <row r="67" spans="1:20" ht="14.45" customHeight="1" thickTop="1" thickBot="1" x14ac:dyDescent="0.3">
      <c r="A67" s="130">
        <f>IFERROR(A63+A66,"")</f>
        <v>8079.6799999999994</v>
      </c>
      <c r="B67" s="11"/>
      <c r="C67" s="11" t="s">
        <v>7</v>
      </c>
      <c r="D67" s="12"/>
      <c r="E67" s="32"/>
      <c r="F67" s="130">
        <f>SUM(F2:F65)</f>
        <v>0</v>
      </c>
      <c r="G67" s="130">
        <f t="shared" ref="G67:L67" si="8">SUM(G2:G65)</f>
        <v>0</v>
      </c>
      <c r="H67" s="130">
        <f t="shared" si="8"/>
        <v>250</v>
      </c>
      <c r="I67" s="130">
        <f t="shared" si="8"/>
        <v>3319.6799999999994</v>
      </c>
      <c r="J67" s="130">
        <f t="shared" si="8"/>
        <v>0</v>
      </c>
      <c r="K67" s="130">
        <f t="shared" si="8"/>
        <v>0</v>
      </c>
      <c r="L67" s="130">
        <f t="shared" si="8"/>
        <v>0</v>
      </c>
      <c r="M67" s="129">
        <f>IF(EXACT(SUM(M2:M65),SUM(F67:L67)),SUM(M2:M65),"No Match")</f>
        <v>3569.6799999999994</v>
      </c>
      <c r="N67" s="91"/>
      <c r="O67" s="145"/>
      <c r="P67" s="146"/>
    </row>
    <row r="68" spans="1:20" ht="14.45" customHeight="1" thickTop="1" thickBot="1" x14ac:dyDescent="0.3">
      <c r="A68" s="130">
        <f>A67-M67</f>
        <v>4510</v>
      </c>
      <c r="B68" s="13"/>
      <c r="C68" s="13" t="s">
        <v>6</v>
      </c>
      <c r="D68" s="14"/>
      <c r="E68" s="13"/>
      <c r="F68" s="15"/>
      <c r="G68" s="15"/>
      <c r="H68" s="15"/>
      <c r="I68" s="15"/>
      <c r="J68" s="15"/>
      <c r="K68" s="15"/>
      <c r="L68" s="15"/>
      <c r="M68" s="16" t="s">
        <v>0</v>
      </c>
      <c r="N68" s="91"/>
      <c r="O68" s="145"/>
      <c r="P68" s="146"/>
    </row>
    <row r="69" spans="1:20" ht="14.45" customHeight="1" thickTop="1" x14ac:dyDescent="0.25">
      <c r="B69" s="11"/>
      <c r="C69" s="11"/>
      <c r="D69" s="11"/>
      <c r="E69" s="11"/>
      <c r="F69" s="11"/>
      <c r="G69" s="17" t="s">
        <v>0</v>
      </c>
      <c r="H69" s="11"/>
      <c r="I69" s="11"/>
      <c r="J69" s="11"/>
      <c r="K69" s="11"/>
      <c r="L69" s="11"/>
      <c r="M69" s="11"/>
      <c r="N69" s="92"/>
      <c r="O69" s="145"/>
      <c r="P69" s="146"/>
    </row>
    <row r="70" spans="1:20" ht="14.45" customHeight="1" x14ac:dyDescent="0.25">
      <c r="B70" s="11"/>
      <c r="C70" s="11"/>
      <c r="D70" s="11" t="s">
        <v>111</v>
      </c>
      <c r="E70" s="11"/>
      <c r="F70" s="11"/>
      <c r="G70" s="17" t="s">
        <v>0</v>
      </c>
      <c r="H70" s="11"/>
      <c r="I70" s="11"/>
      <c r="J70" s="11" t="s">
        <v>8</v>
      </c>
      <c r="K70" s="149" t="s">
        <v>112</v>
      </c>
      <c r="L70" s="149"/>
      <c r="M70" s="149"/>
      <c r="N70" s="93"/>
      <c r="O70" s="145"/>
      <c r="P70" s="146"/>
    </row>
    <row r="71" spans="1:20" ht="14.45" customHeight="1" x14ac:dyDescent="0.25">
      <c r="G71" s="1" t="s">
        <v>0</v>
      </c>
      <c r="O71" s="147"/>
      <c r="P71" s="146"/>
    </row>
    <row r="72" spans="1:20" ht="25.5" customHeight="1" thickBot="1" x14ac:dyDescent="0.3">
      <c r="O72" s="122" t="s">
        <v>108</v>
      </c>
      <c r="P72" s="122" t="s">
        <v>18</v>
      </c>
    </row>
    <row r="73" spans="1:20" ht="14.45" customHeight="1" x14ac:dyDescent="0.25">
      <c r="O73" s="116">
        <v>500</v>
      </c>
      <c r="P73" s="26" t="s">
        <v>38</v>
      </c>
    </row>
    <row r="74" spans="1:20" ht="14.45" customHeight="1" x14ac:dyDescent="0.25">
      <c r="O74" s="116">
        <v>700</v>
      </c>
      <c r="P74" s="26" t="s">
        <v>45</v>
      </c>
    </row>
    <row r="75" spans="1:20" ht="14.45" customHeight="1" x14ac:dyDescent="0.25">
      <c r="O75" s="116"/>
      <c r="P75" s="26"/>
    </row>
    <row r="76" spans="1:20" ht="14.45" customHeight="1" x14ac:dyDescent="0.25">
      <c r="O76" s="116"/>
      <c r="P76" s="26"/>
    </row>
    <row r="77" spans="1:20" ht="14.45" customHeight="1" x14ac:dyDescent="0.25">
      <c r="O77" s="116"/>
      <c r="P77" s="26"/>
    </row>
    <row r="78" spans="1:20" ht="14.45" customHeight="1" x14ac:dyDescent="0.25">
      <c r="P78" s="26"/>
    </row>
    <row r="79" spans="1:20" ht="14.45" customHeight="1" x14ac:dyDescent="0.25">
      <c r="P79" s="26"/>
      <c r="R79" s="18"/>
      <c r="S79" s="132"/>
      <c r="T79" s="20"/>
    </row>
    <row r="80" spans="1:20" ht="14.45" customHeight="1" x14ac:dyDescent="0.25">
      <c r="P80" s="26"/>
      <c r="S80" s="132"/>
      <c r="T80" s="20"/>
    </row>
    <row r="81" spans="16:29" ht="14.45" customHeight="1" x14ac:dyDescent="0.25">
      <c r="P81" s="26"/>
      <c r="R81" s="18"/>
      <c r="S81" s="132"/>
      <c r="T81" s="20"/>
    </row>
    <row r="82" spans="16:29" ht="14.45" customHeight="1" x14ac:dyDescent="0.25">
      <c r="P82" s="26"/>
      <c r="R82" s="18"/>
      <c r="S82" s="132"/>
      <c r="T82" s="20"/>
    </row>
    <row r="83" spans="16:29" ht="14.45" customHeight="1" x14ac:dyDescent="0.25">
      <c r="P83" s="26"/>
      <c r="R83" s="18"/>
      <c r="S83" s="132"/>
      <c r="T83" s="20"/>
    </row>
    <row r="84" spans="16:29" ht="14.45" customHeight="1" x14ac:dyDescent="0.25">
      <c r="P84" s="26"/>
      <c r="R84" s="18"/>
      <c r="S84" s="132"/>
      <c r="T84" s="20"/>
      <c r="W84" s="19"/>
      <c r="X84" s="19"/>
      <c r="Y84" s="19"/>
      <c r="Z84" s="100"/>
      <c r="AA84" s="19"/>
      <c r="AC84" s="19"/>
    </row>
    <row r="85" spans="16:29" ht="14.45" customHeight="1" x14ac:dyDescent="0.25">
      <c r="P85" s="26"/>
      <c r="R85" s="18"/>
      <c r="S85" s="132"/>
      <c r="T85" s="20"/>
    </row>
    <row r="86" spans="16:29" ht="14.45" customHeight="1" x14ac:dyDescent="0.25">
      <c r="P86" s="26"/>
      <c r="R86" s="18"/>
      <c r="S86" s="132"/>
      <c r="T86" s="20"/>
    </row>
    <row r="87" spans="16:29" ht="14.45" customHeight="1" x14ac:dyDescent="0.25">
      <c r="P87" s="26"/>
      <c r="R87" s="18"/>
      <c r="S87" s="132"/>
      <c r="T87" s="20"/>
    </row>
    <row r="88" spans="16:29" ht="14.45" customHeight="1" x14ac:dyDescent="0.25">
      <c r="P88" s="26"/>
      <c r="R88" s="18"/>
      <c r="S88" s="132"/>
      <c r="T88" s="20"/>
    </row>
    <row r="89" spans="16:29" ht="14.45" customHeight="1" x14ac:dyDescent="0.25">
      <c r="P89" s="26"/>
    </row>
    <row r="90" spans="16:29" ht="14.45" customHeight="1" x14ac:dyDescent="0.25">
      <c r="P90" s="26"/>
    </row>
    <row r="91" spans="16:29" ht="14.45" customHeight="1" x14ac:dyDescent="0.25">
      <c r="P91" s="26"/>
    </row>
    <row r="92" spans="16:29" ht="14.45" customHeight="1" x14ac:dyDescent="0.25">
      <c r="P92" s="26"/>
    </row>
    <row r="93" spans="16:29" ht="14.45" customHeight="1" x14ac:dyDescent="0.25">
      <c r="P93" s="26"/>
    </row>
    <row r="94" spans="16:29" ht="14.45" customHeight="1" x14ac:dyDescent="0.25">
      <c r="P94" s="26"/>
    </row>
    <row r="95" spans="16:29" ht="14.45" customHeight="1" x14ac:dyDescent="0.25">
      <c r="P95" s="26"/>
    </row>
    <row r="96" spans="16:29" ht="14.45" customHeight="1" x14ac:dyDescent="0.25">
      <c r="P96" s="26"/>
    </row>
    <row r="97" spans="16:16" ht="14.45" customHeight="1" x14ac:dyDescent="0.25">
      <c r="P97" s="26"/>
    </row>
    <row r="98" spans="16:16" ht="14.45" customHeight="1" x14ac:dyDescent="0.25">
      <c r="P98" s="26"/>
    </row>
    <row r="99" spans="16:16" ht="14.45" customHeight="1" x14ac:dyDescent="0.25">
      <c r="P99" s="26"/>
    </row>
    <row r="100" spans="16:16" ht="14.45" customHeight="1" x14ac:dyDescent="0.25">
      <c r="P100" s="26"/>
    </row>
    <row r="101" spans="16:16" ht="14.45" customHeight="1" x14ac:dyDescent="0.25">
      <c r="P101" s="26"/>
    </row>
    <row r="102" spans="16:16" ht="14.45" customHeight="1" x14ac:dyDescent="0.25">
      <c r="P102" s="26"/>
    </row>
  </sheetData>
  <mergeCells count="7">
    <mergeCell ref="AJ19:AL19"/>
    <mergeCell ref="K70:M70"/>
    <mergeCell ref="AE7:AG7"/>
    <mergeCell ref="AJ7:AQ7"/>
    <mergeCell ref="AJ8:AL8"/>
    <mergeCell ref="AO8:AQ8"/>
    <mergeCell ref="AC2:AC8"/>
  </mergeCells>
  <phoneticPr fontId="0" type="noConversion"/>
  <conditionalFormatting sqref="M67">
    <cfRule type="cellIs" dxfId="2" priority="1" operator="equal">
      <formula>"No Match"</formula>
    </cfRule>
  </conditionalFormatting>
  <dataValidations count="2">
    <dataValidation type="list" showInputMessage="1" showErrorMessage="1" sqref="P101:P102" xr:uid="{1DDADF38-2355-49A7-B671-098FEC7A9F1C}">
      <formula1>US_Category</formula1>
    </dataValidation>
    <dataValidation type="list" allowBlank="1" showInputMessage="1" showErrorMessage="1" sqref="P73:P100 P2:P62" xr:uid="{5C783C64-3D8E-4B82-A7FA-A48CFE0E34B3}">
      <formula1>US_Category1</formula1>
    </dataValidation>
  </dataValidations>
  <printOptions gridLines="1"/>
  <pageMargins left="0.75" right="0.75" top="1" bottom="1" header="0.5" footer="0.5"/>
  <pageSetup scale="49" orientation="portrait" r:id="rId2"/>
  <headerFooter alignWithMargins="0"/>
  <drawing r:id="rId3"/>
</worksheet>
</file>

<file path=customUI/_rels/customUI14.xml.rels><?xml version="1.0" encoding="UTF-8" standalone="yes"?>
<Relationships xmlns="http://schemas.openxmlformats.org/package/2006/relationships"><Relationship Id="us_flag" Type="http://schemas.openxmlformats.org/officeDocument/2006/relationships/image" Target="images/us_flag.png"/><Relationship Id="brazil_flag" Type="http://schemas.openxmlformats.org/officeDocument/2006/relationships/image" Target="images/brazil_flag.png"/></Relationships>
</file>

<file path=customUI/customUI14.xml><?xml version="1.0" encoding="utf-8"?>
<customUI xmlns="http://schemas.microsoft.com/office/2009/07/customui">
  <ribbon>
    <tabs>
      <tab id="customTab" label="Expense Reports" insertAfterMso="TabHelp">
        <group id="grp_tools" label="Tools">
          <button id="btn_gw" label="Generate Worksheet" size="large" onAction="btn_generateWorksheet" imageMso="TableAutoFormat"/>
        </group>
        <group id="grp_edit" label="Edit">
          <button id="btn_er" label="Edit Expenses" size="large" onAction="btn_editExpenseReport" imageMso="DataFormSource"/>
        </group>
        <group id="grp_print" label="Print">
          <splitButton id="splitButton" size="large">
            <button id="btn_pr" imageMso="FilePrint" label="Print Reports"/>
            <menu id="menu">
              <button id="btn_pr_brasil" label="Brasil" onAction="btn_printBrasilReport" image="brazil_flag"/>
              <button id="btn_pr_us" label="U.S." onAction="btn_printUSReport" image="us_flag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Lists</vt:lpstr>
      <vt:lpstr>Temp</vt:lpstr>
      <vt:lpstr>July 2021</vt:lpstr>
      <vt:lpstr>'July 2021'!Print_Area</vt:lpstr>
      <vt:lpstr>US_Category</vt:lpstr>
      <vt:lpstr>US_Category1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Kyron</dc:creator>
  <cp:lastModifiedBy>Leaf, Peter</cp:lastModifiedBy>
  <cp:lastPrinted>2021-07-21T18:10:25Z</cp:lastPrinted>
  <dcterms:created xsi:type="dcterms:W3CDTF">2009-01-23T13:46:17Z</dcterms:created>
  <dcterms:modified xsi:type="dcterms:W3CDTF">2021-07-22T20:39:16Z</dcterms:modified>
</cp:coreProperties>
</file>